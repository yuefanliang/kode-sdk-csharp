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东天" sheetId="1" r:id="rId1"/>
    <sheet name="中智投" sheetId="2" r:id="rId2"/>
    <sheet name="熠丰" sheetId="3" r:id="rId3"/>
    <sheet name="中铭" sheetId="4" r:id="rId4"/>
  </sheets>
  <calcPr calcId="144525"/>
</workbook>
</file>

<file path=xl/sharedStrings.xml><?xml version="1.0" encoding="utf-8"?>
<sst xmlns="http://schemas.openxmlformats.org/spreadsheetml/2006/main" count="218" uniqueCount="164">
  <si>
    <t>7.26号刘总分享《十四五开局形势预判》签到</t>
  </si>
  <si>
    <t>2022年底预发明细</t>
  </si>
  <si>
    <t>序号</t>
  </si>
  <si>
    <t>部门</t>
  </si>
  <si>
    <t>姓名</t>
  </si>
  <si>
    <t>基本工资</t>
  </si>
  <si>
    <t>转正时间</t>
  </si>
  <si>
    <t>试用期入职时间</t>
  </si>
  <si>
    <t>试用期月份数</t>
  </si>
  <si>
    <t>试用期折合月份数</t>
  </si>
  <si>
    <t>转正月份数</t>
  </si>
  <si>
    <t>折合月份数</t>
  </si>
  <si>
    <t>预发两个月</t>
  </si>
  <si>
    <t>咨询一部</t>
  </si>
  <si>
    <t>任晓纳</t>
  </si>
  <si>
    <t>2022年5月16号</t>
  </si>
  <si>
    <t>李仁辉</t>
  </si>
  <si>
    <t>2022年10月20号</t>
  </si>
  <si>
    <t>李青</t>
  </si>
  <si>
    <t>2022年9月13号</t>
  </si>
  <si>
    <t>咨询二部</t>
  </si>
  <si>
    <t>刘洋</t>
  </si>
  <si>
    <t>王鹏</t>
  </si>
  <si>
    <t>刘玉青</t>
  </si>
  <si>
    <t>杨晶</t>
  </si>
  <si>
    <t>2022年8月15号</t>
  </si>
  <si>
    <t>潘擘</t>
  </si>
  <si>
    <t>2022年7月18号</t>
  </si>
  <si>
    <t>咨询三部</t>
  </si>
  <si>
    <t>穆林林</t>
  </si>
  <si>
    <t>李娟</t>
  </si>
  <si>
    <t>2022年3月14号</t>
  </si>
  <si>
    <t>邓靖</t>
  </si>
  <si>
    <t>2022年6月16号</t>
  </si>
  <si>
    <t>邓泽峰</t>
  </si>
  <si>
    <t>2022年5月8号</t>
  </si>
  <si>
    <t>研究院</t>
  </si>
  <si>
    <t>李丹</t>
  </si>
  <si>
    <t>高超</t>
  </si>
  <si>
    <t>2022年3月15号</t>
  </si>
  <si>
    <t>刘倩倩</t>
  </si>
  <si>
    <t>2022年4月13号</t>
  </si>
  <si>
    <t>周玲敏</t>
  </si>
  <si>
    <t>2022年10</t>
  </si>
  <si>
    <t>2022年5月9号</t>
  </si>
  <si>
    <t>颜诗琪</t>
  </si>
  <si>
    <t>2022年11月9号</t>
  </si>
  <si>
    <t>陈子越</t>
  </si>
  <si>
    <t>2022年11月21号</t>
  </si>
  <si>
    <t>张艺</t>
  </si>
  <si>
    <t>2022年12月8号</t>
  </si>
  <si>
    <t>空间规划部</t>
  </si>
  <si>
    <t>陈学庸</t>
  </si>
  <si>
    <t>2021年12月22号</t>
  </si>
  <si>
    <t>吴雅文</t>
  </si>
  <si>
    <t>2021年12月30号</t>
  </si>
  <si>
    <t>黄俊</t>
  </si>
  <si>
    <t>刘俐欣</t>
  </si>
  <si>
    <t>2022年3月4号</t>
  </si>
  <si>
    <t>张蕊</t>
  </si>
  <si>
    <t>2022年3月8号</t>
  </si>
  <si>
    <t>曹锦霞</t>
  </si>
  <si>
    <t>张子航</t>
  </si>
  <si>
    <t>2022年8月31号</t>
  </si>
  <si>
    <t>熠丰</t>
  </si>
  <si>
    <t>宋金超</t>
  </si>
  <si>
    <t>2022年6月1号</t>
  </si>
  <si>
    <t>李永明</t>
  </si>
  <si>
    <t xml:space="preserve">设计部
</t>
  </si>
  <si>
    <t>范建元</t>
  </si>
  <si>
    <t>2022年7月26号</t>
  </si>
  <si>
    <t>张小英</t>
  </si>
  <si>
    <t>唐艳</t>
  </si>
  <si>
    <t>2022年10月26号</t>
  </si>
  <si>
    <t>市场部</t>
  </si>
  <si>
    <t>韩聪聪</t>
  </si>
  <si>
    <t>谢珍妮</t>
  </si>
  <si>
    <t>周碧</t>
  </si>
  <si>
    <t>吴双</t>
  </si>
  <si>
    <t>范凯琪</t>
  </si>
  <si>
    <t>2022年3月21号</t>
  </si>
  <si>
    <t>投资发展部</t>
  </si>
  <si>
    <t>朱昕</t>
  </si>
  <si>
    <t>童蔼尧</t>
  </si>
  <si>
    <t>2021年11月15号</t>
  </si>
  <si>
    <t>行政部</t>
  </si>
  <si>
    <t>张全</t>
  </si>
  <si>
    <t>2022年1月2号</t>
  </si>
  <si>
    <t>人力资源部</t>
  </si>
  <si>
    <t>鲁春</t>
  </si>
  <si>
    <t>财务部</t>
  </si>
  <si>
    <t>刘非艳</t>
  </si>
  <si>
    <t>李丽</t>
  </si>
  <si>
    <t>陈芳</t>
  </si>
  <si>
    <t>2021年10月18号</t>
  </si>
  <si>
    <t>周宇</t>
  </si>
  <si>
    <t>2022年11月14号</t>
  </si>
  <si>
    <t>企管部</t>
  </si>
  <si>
    <t>黄超琦</t>
  </si>
  <si>
    <t>李藩</t>
  </si>
  <si>
    <t>总工办</t>
  </si>
  <si>
    <t>苏士安</t>
  </si>
  <si>
    <t>唐东林</t>
  </si>
  <si>
    <t>陈子萍</t>
  </si>
  <si>
    <t>陈楚楚</t>
  </si>
  <si>
    <t>2022年10月8号</t>
  </si>
  <si>
    <t>合计</t>
  </si>
  <si>
    <t>转正折合月份数</t>
  </si>
  <si>
    <t>设计部</t>
  </si>
  <si>
    <t>市政环保组</t>
  </si>
  <si>
    <t>胡轩</t>
  </si>
  <si>
    <t>2022年6月27号</t>
  </si>
  <si>
    <t>郑玮</t>
  </si>
  <si>
    <t>2022年7月6号</t>
  </si>
  <si>
    <t>刘尊杰</t>
  </si>
  <si>
    <t>2022年7月20号</t>
  </si>
  <si>
    <t>唐雁</t>
  </si>
  <si>
    <t>2022年9月8号</t>
  </si>
  <si>
    <t>建筑设计组</t>
  </si>
  <si>
    <t>魏紫沫</t>
  </si>
  <si>
    <t>2022年6月25号</t>
  </si>
  <si>
    <t>田林</t>
  </si>
  <si>
    <t>李星</t>
  </si>
  <si>
    <t>2022年7月1号</t>
  </si>
  <si>
    <t>电气设计组</t>
  </si>
  <si>
    <t>王乐</t>
  </si>
  <si>
    <t>2022年4月6号</t>
  </si>
  <si>
    <t>张家鹏</t>
  </si>
  <si>
    <t>2022年2月21号</t>
  </si>
  <si>
    <t>结构设计组</t>
  </si>
  <si>
    <t>戴伟倬</t>
  </si>
  <si>
    <t>2022年8月19号</t>
  </si>
  <si>
    <t>殷实</t>
  </si>
  <si>
    <t>2022年11月3号</t>
  </si>
  <si>
    <t>造价组</t>
  </si>
  <si>
    <t>高柯杨</t>
  </si>
  <si>
    <t>项目管理部</t>
  </si>
  <si>
    <t>田光磊</t>
  </si>
  <si>
    <t>2022年8月3号</t>
  </si>
  <si>
    <t>甘彪</t>
  </si>
  <si>
    <t>200年7月20号</t>
  </si>
  <si>
    <t>韩星星</t>
  </si>
  <si>
    <t>彭伟</t>
  </si>
  <si>
    <t>2022年3月1号</t>
  </si>
  <si>
    <t>吴光平</t>
  </si>
  <si>
    <t>2022年9月17号</t>
  </si>
  <si>
    <t>试用期月份</t>
  </si>
  <si>
    <t>环评</t>
  </si>
  <si>
    <t>杨琪</t>
  </si>
  <si>
    <t>2022年5月7号</t>
  </si>
  <si>
    <t>黄连丽</t>
  </si>
  <si>
    <t>2022年7月15号</t>
  </si>
  <si>
    <t>李立冬</t>
  </si>
  <si>
    <t>陈好</t>
  </si>
  <si>
    <t>2022年10月10号</t>
  </si>
  <si>
    <t>温俊</t>
  </si>
  <si>
    <t>卢梓清</t>
  </si>
  <si>
    <t>2022年5月17号</t>
  </si>
  <si>
    <t>毛棕远</t>
  </si>
  <si>
    <t>李少贤</t>
  </si>
  <si>
    <t>2022年9月1号</t>
  </si>
  <si>
    <t>李浩</t>
  </si>
  <si>
    <t>任曲</t>
  </si>
  <si>
    <t>杨紫璇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</si>
</sst>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21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3" borderId="22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57" fontId="0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topLeftCell="B1" workbookViewId="0">
      <selection activeCell="H46" sqref="H46"/>
    </sheetView>
  </sheetViews>
  <sheetFormatPr defaultColWidth="9" defaultRowHeight="13.5"/>
  <cols>
    <col min="1" max="1" width="8.75" style="1" hidden="1" customWidth="1"/>
    <col min="2" max="2" width="13.25" style="2" customWidth="1"/>
    <col min="3" max="3" width="12.75" style="2" customWidth="1"/>
    <col min="4" max="4" width="15.5" style="1" customWidth="1"/>
    <col min="5" max="5" width="17.125" style="1" customWidth="1"/>
    <col min="6" max="6" width="20.125" style="1" customWidth="1"/>
    <col min="7" max="9" width="16.625" style="1" customWidth="1"/>
    <col min="10" max="10" width="13.5" style="1" customWidth="1"/>
    <col min="11" max="11" width="11.375" style="1" customWidth="1"/>
    <col min="12" max="12" width="17.5" style="1" customWidth="1"/>
    <col min="13" max="13" width="9" style="1"/>
    <col min="14" max="14" width="12.625" style="1"/>
    <col min="15" max="16384" width="9" style="1"/>
  </cols>
  <sheetData>
    <row r="1" s="1" customFormat="1" ht="44" customHeight="1" spans="1:12">
      <c r="A1" s="3" t="s">
        <v>0</v>
      </c>
      <c r="B1" s="4" t="s">
        <v>1</v>
      </c>
      <c r="C1" s="5"/>
      <c r="D1" s="6"/>
      <c r="E1" s="6"/>
      <c r="F1" s="6"/>
      <c r="G1" s="6"/>
      <c r="H1" s="6"/>
      <c r="I1" s="6"/>
      <c r="J1" s="6"/>
      <c r="K1" s="6"/>
      <c r="L1" s="20"/>
    </row>
    <row r="2" s="1" customFormat="1" ht="21" customHeight="1" spans="1:12">
      <c r="A2" s="7" t="s">
        <v>2</v>
      </c>
      <c r="B2" s="8" t="s">
        <v>3</v>
      </c>
      <c r="C2" s="9"/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21" t="s">
        <v>12</v>
      </c>
    </row>
    <row r="3" s="1" customFormat="1" ht="24" customHeight="1" spans="1:14">
      <c r="A3" s="11">
        <v>1</v>
      </c>
      <c r="B3" s="23" t="s">
        <v>13</v>
      </c>
      <c r="C3" s="23"/>
      <c r="D3" s="14" t="s">
        <v>14</v>
      </c>
      <c r="E3" s="15">
        <v>12200</v>
      </c>
      <c r="F3" s="24">
        <v>44743</v>
      </c>
      <c r="G3" s="14" t="s">
        <v>15</v>
      </c>
      <c r="H3" s="14">
        <v>1</v>
      </c>
      <c r="I3" s="22">
        <f>H3/12*1</f>
        <v>0.0833333333333333</v>
      </c>
      <c r="J3" s="14">
        <v>6</v>
      </c>
      <c r="K3" s="22">
        <f>J3/12*2</f>
        <v>1</v>
      </c>
      <c r="L3" s="22">
        <f>(E3*I3)+(E3*K3)</f>
        <v>13216.6666666667</v>
      </c>
      <c r="N3" s="1">
        <v>0</v>
      </c>
    </row>
    <row r="4" s="1" customFormat="1" ht="24" customHeight="1" spans="1:12">
      <c r="A4" s="11"/>
      <c r="B4" s="23"/>
      <c r="C4" s="23"/>
      <c r="D4" s="14" t="s">
        <v>16</v>
      </c>
      <c r="E4" s="15">
        <v>6000</v>
      </c>
      <c r="F4" s="14"/>
      <c r="G4" s="25" t="s">
        <v>17</v>
      </c>
      <c r="H4" s="25">
        <v>2</v>
      </c>
      <c r="I4" s="22">
        <f t="shared" ref="I4:I35" si="0">H4/12*1</f>
        <v>0.166666666666667</v>
      </c>
      <c r="J4" s="14">
        <v>0</v>
      </c>
      <c r="K4" s="22">
        <f t="shared" ref="K4:K35" si="1">J4/12*2</f>
        <v>0</v>
      </c>
      <c r="L4" s="22">
        <f t="shared" ref="L4:L35" si="2">(E4*I4)+(E4*K4)</f>
        <v>1000</v>
      </c>
    </row>
    <row r="5" s="1" customFormat="1" ht="24" customHeight="1" spans="1:12">
      <c r="A5" s="11"/>
      <c r="B5" s="23"/>
      <c r="C5" s="23"/>
      <c r="D5" s="14" t="s">
        <v>18</v>
      </c>
      <c r="E5" s="15">
        <v>4700</v>
      </c>
      <c r="F5" s="24">
        <v>44896</v>
      </c>
      <c r="G5" s="14" t="s">
        <v>19</v>
      </c>
      <c r="H5" s="14">
        <v>3</v>
      </c>
      <c r="I5" s="22">
        <f t="shared" si="0"/>
        <v>0.25</v>
      </c>
      <c r="J5" s="14">
        <v>1</v>
      </c>
      <c r="K5" s="22">
        <f t="shared" si="1"/>
        <v>0.166666666666667</v>
      </c>
      <c r="L5" s="22">
        <f t="shared" si="2"/>
        <v>1958.33333333333</v>
      </c>
    </row>
    <row r="6" s="1" customFormat="1" ht="24" customHeight="1" spans="1:12">
      <c r="A6" s="11"/>
      <c r="B6" s="23" t="s">
        <v>20</v>
      </c>
      <c r="C6" s="23"/>
      <c r="D6" s="14" t="s">
        <v>21</v>
      </c>
      <c r="E6" s="15">
        <v>10200</v>
      </c>
      <c r="F6" s="14"/>
      <c r="G6" s="14"/>
      <c r="H6" s="14"/>
      <c r="I6" s="22">
        <f t="shared" si="0"/>
        <v>0</v>
      </c>
      <c r="J6" s="14">
        <v>12</v>
      </c>
      <c r="K6" s="22">
        <f t="shared" si="1"/>
        <v>2</v>
      </c>
      <c r="L6" s="22">
        <f t="shared" si="2"/>
        <v>20400</v>
      </c>
    </row>
    <row r="7" s="1" customFormat="1" ht="24" customHeight="1" spans="1:12">
      <c r="A7" s="11"/>
      <c r="B7" s="23"/>
      <c r="C7" s="23"/>
      <c r="D7" s="14" t="s">
        <v>22</v>
      </c>
      <c r="E7" s="15">
        <v>8200</v>
      </c>
      <c r="F7" s="14"/>
      <c r="G7" s="14"/>
      <c r="H7" s="14"/>
      <c r="I7" s="22">
        <f t="shared" si="0"/>
        <v>0</v>
      </c>
      <c r="J7" s="14">
        <v>12</v>
      </c>
      <c r="K7" s="22">
        <f t="shared" si="1"/>
        <v>2</v>
      </c>
      <c r="L7" s="22">
        <f t="shared" si="2"/>
        <v>16400</v>
      </c>
    </row>
    <row r="8" s="1" customFormat="1" ht="24" customHeight="1" spans="1:12">
      <c r="A8" s="11"/>
      <c r="B8" s="23"/>
      <c r="C8" s="23"/>
      <c r="D8" s="14" t="s">
        <v>23</v>
      </c>
      <c r="E8" s="15">
        <v>7200</v>
      </c>
      <c r="F8" s="14"/>
      <c r="G8" s="14"/>
      <c r="H8" s="14"/>
      <c r="I8" s="22">
        <f t="shared" si="0"/>
        <v>0</v>
      </c>
      <c r="J8" s="14">
        <v>12</v>
      </c>
      <c r="K8" s="22">
        <f t="shared" si="1"/>
        <v>2</v>
      </c>
      <c r="L8" s="22">
        <f t="shared" si="2"/>
        <v>14400</v>
      </c>
    </row>
    <row r="9" s="1" customFormat="1" ht="24" customHeight="1" spans="1:12">
      <c r="A9" s="11"/>
      <c r="B9" s="23"/>
      <c r="C9" s="23"/>
      <c r="D9" s="14" t="s">
        <v>24</v>
      </c>
      <c r="E9" s="15">
        <v>5200</v>
      </c>
      <c r="F9" s="24">
        <v>44896</v>
      </c>
      <c r="G9" s="14" t="s">
        <v>25</v>
      </c>
      <c r="H9" s="14">
        <v>4</v>
      </c>
      <c r="I9" s="22">
        <f t="shared" si="0"/>
        <v>0.333333333333333</v>
      </c>
      <c r="J9" s="14">
        <v>1</v>
      </c>
      <c r="K9" s="22">
        <f t="shared" si="1"/>
        <v>0.166666666666667</v>
      </c>
      <c r="L9" s="22">
        <f t="shared" si="2"/>
        <v>2600</v>
      </c>
    </row>
    <row r="10" s="1" customFormat="1" ht="24" customHeight="1" spans="1:12">
      <c r="A10" s="11"/>
      <c r="B10" s="23"/>
      <c r="C10" s="23"/>
      <c r="D10" s="14" t="s">
        <v>26</v>
      </c>
      <c r="E10" s="15">
        <v>8000</v>
      </c>
      <c r="F10" s="24">
        <v>44835</v>
      </c>
      <c r="G10" s="14" t="s">
        <v>27</v>
      </c>
      <c r="H10" s="14">
        <v>2</v>
      </c>
      <c r="I10" s="22">
        <f t="shared" si="0"/>
        <v>0.166666666666667</v>
      </c>
      <c r="J10" s="14">
        <v>3</v>
      </c>
      <c r="K10" s="22">
        <f t="shared" si="1"/>
        <v>0.5</v>
      </c>
      <c r="L10" s="22">
        <f t="shared" si="2"/>
        <v>5333.33333333333</v>
      </c>
    </row>
    <row r="11" s="1" customFormat="1" ht="24" customHeight="1" spans="1:12">
      <c r="A11" s="11">
        <v>5</v>
      </c>
      <c r="B11" s="23" t="s">
        <v>28</v>
      </c>
      <c r="C11" s="23"/>
      <c r="D11" s="14" t="s">
        <v>29</v>
      </c>
      <c r="E11" s="15">
        <v>10200</v>
      </c>
      <c r="F11" s="14"/>
      <c r="G11" s="14"/>
      <c r="H11" s="14"/>
      <c r="I11" s="22">
        <f t="shared" si="0"/>
        <v>0</v>
      </c>
      <c r="J11" s="14">
        <v>12</v>
      </c>
      <c r="K11" s="22">
        <f t="shared" si="1"/>
        <v>2</v>
      </c>
      <c r="L11" s="22">
        <f t="shared" si="2"/>
        <v>20400</v>
      </c>
    </row>
    <row r="12" s="1" customFormat="1" ht="24" customHeight="1" spans="1:12">
      <c r="A12" s="11"/>
      <c r="B12" s="23"/>
      <c r="C12" s="23"/>
      <c r="D12" s="14" t="s">
        <v>30</v>
      </c>
      <c r="E12" s="15">
        <v>11200</v>
      </c>
      <c r="F12" s="24">
        <v>44713</v>
      </c>
      <c r="G12" s="14" t="s">
        <v>31</v>
      </c>
      <c r="H12" s="14">
        <v>2</v>
      </c>
      <c r="I12" s="22">
        <f t="shared" si="0"/>
        <v>0.166666666666667</v>
      </c>
      <c r="J12" s="14">
        <v>7</v>
      </c>
      <c r="K12" s="22">
        <f t="shared" si="1"/>
        <v>1.16666666666667</v>
      </c>
      <c r="L12" s="22">
        <f t="shared" si="2"/>
        <v>14933.3333333333</v>
      </c>
    </row>
    <row r="13" s="1" customFormat="1" ht="24" customHeight="1" spans="1:12">
      <c r="A13" s="11"/>
      <c r="B13" s="23"/>
      <c r="C13" s="23"/>
      <c r="D13" s="14" t="s">
        <v>32</v>
      </c>
      <c r="E13" s="15">
        <v>6200</v>
      </c>
      <c r="F13" s="24">
        <v>44835</v>
      </c>
      <c r="G13" s="14" t="s">
        <v>33</v>
      </c>
      <c r="H13" s="14">
        <v>3</v>
      </c>
      <c r="I13" s="22">
        <f t="shared" si="0"/>
        <v>0.25</v>
      </c>
      <c r="J13" s="14">
        <v>3</v>
      </c>
      <c r="K13" s="22">
        <f t="shared" si="1"/>
        <v>0.5</v>
      </c>
      <c r="L13" s="22">
        <f t="shared" si="2"/>
        <v>4650</v>
      </c>
    </row>
    <row r="14" s="1" customFormat="1" ht="24" customHeight="1" spans="1:12">
      <c r="A14" s="11"/>
      <c r="B14" s="23"/>
      <c r="C14" s="23"/>
      <c r="D14" s="14" t="s">
        <v>34</v>
      </c>
      <c r="E14" s="15">
        <v>4600</v>
      </c>
      <c r="F14" s="24">
        <v>44866</v>
      </c>
      <c r="G14" s="14" t="s">
        <v>35</v>
      </c>
      <c r="H14" s="14">
        <v>6</v>
      </c>
      <c r="I14" s="22">
        <f t="shared" si="0"/>
        <v>0.5</v>
      </c>
      <c r="J14" s="14">
        <v>2</v>
      </c>
      <c r="K14" s="22">
        <f t="shared" si="1"/>
        <v>0.333333333333333</v>
      </c>
      <c r="L14" s="22">
        <f t="shared" si="2"/>
        <v>3833.33333333333</v>
      </c>
    </row>
    <row r="15" s="1" customFormat="1" ht="24" customHeight="1" spans="1:12">
      <c r="A15" s="11">
        <v>7</v>
      </c>
      <c r="B15" s="23" t="s">
        <v>36</v>
      </c>
      <c r="C15" s="23"/>
      <c r="D15" s="14" t="s">
        <v>37</v>
      </c>
      <c r="E15" s="15">
        <v>10700</v>
      </c>
      <c r="F15" s="14"/>
      <c r="G15" s="14"/>
      <c r="H15" s="14"/>
      <c r="I15" s="22">
        <f t="shared" si="0"/>
        <v>0</v>
      </c>
      <c r="J15" s="14">
        <v>12</v>
      </c>
      <c r="K15" s="22">
        <f t="shared" si="1"/>
        <v>2</v>
      </c>
      <c r="L15" s="22">
        <f t="shared" si="2"/>
        <v>21400</v>
      </c>
    </row>
    <row r="16" s="1" customFormat="1" ht="24" customHeight="1" spans="1:12">
      <c r="A16" s="11">
        <v>8</v>
      </c>
      <c r="B16" s="23"/>
      <c r="C16" s="23"/>
      <c r="D16" s="14" t="s">
        <v>38</v>
      </c>
      <c r="E16" s="15">
        <v>9200</v>
      </c>
      <c r="F16" s="24">
        <v>44713</v>
      </c>
      <c r="G16" s="14" t="s">
        <v>39</v>
      </c>
      <c r="H16" s="14">
        <v>3</v>
      </c>
      <c r="I16" s="22">
        <f t="shared" si="0"/>
        <v>0.25</v>
      </c>
      <c r="J16" s="14">
        <v>7</v>
      </c>
      <c r="K16" s="22">
        <f t="shared" si="1"/>
        <v>1.16666666666667</v>
      </c>
      <c r="L16" s="22">
        <f t="shared" si="2"/>
        <v>13033.3333333333</v>
      </c>
    </row>
    <row r="17" s="1" customFormat="1" ht="24" customHeight="1" spans="1:12">
      <c r="A17" s="11">
        <v>9</v>
      </c>
      <c r="B17" s="23"/>
      <c r="C17" s="23"/>
      <c r="D17" s="14" t="s">
        <v>40</v>
      </c>
      <c r="E17" s="15">
        <v>11200</v>
      </c>
      <c r="F17" s="24">
        <v>44743</v>
      </c>
      <c r="G17" s="14" t="s">
        <v>41</v>
      </c>
      <c r="H17" s="14">
        <v>3</v>
      </c>
      <c r="I17" s="22">
        <f t="shared" si="0"/>
        <v>0.25</v>
      </c>
      <c r="J17" s="14">
        <v>6</v>
      </c>
      <c r="K17" s="22">
        <f t="shared" si="1"/>
        <v>1</v>
      </c>
      <c r="L17" s="22">
        <f t="shared" si="2"/>
        <v>14000</v>
      </c>
    </row>
    <row r="18" s="1" customFormat="1" ht="24" customHeight="1" spans="1:12">
      <c r="A18" s="11">
        <v>10</v>
      </c>
      <c r="B18" s="23"/>
      <c r="C18" s="23"/>
      <c r="D18" s="14" t="s">
        <v>42</v>
      </c>
      <c r="E18" s="15">
        <v>6900</v>
      </c>
      <c r="F18" s="14" t="s">
        <v>43</v>
      </c>
      <c r="G18" s="14" t="s">
        <v>44</v>
      </c>
      <c r="H18" s="14">
        <v>5</v>
      </c>
      <c r="I18" s="22">
        <f t="shared" si="0"/>
        <v>0.416666666666667</v>
      </c>
      <c r="J18" s="14">
        <v>3</v>
      </c>
      <c r="K18" s="22">
        <f t="shared" si="1"/>
        <v>0.5</v>
      </c>
      <c r="L18" s="22">
        <f t="shared" si="2"/>
        <v>6325</v>
      </c>
    </row>
    <row r="19" s="1" customFormat="1" ht="24" customHeight="1" spans="1:12">
      <c r="A19" s="11"/>
      <c r="B19" s="23"/>
      <c r="C19" s="23"/>
      <c r="D19" s="14" t="s">
        <v>45</v>
      </c>
      <c r="E19" s="15">
        <v>5200</v>
      </c>
      <c r="F19" s="14"/>
      <c r="G19" s="24" t="s">
        <v>46</v>
      </c>
      <c r="H19" s="14">
        <v>2</v>
      </c>
      <c r="I19" s="22">
        <f t="shared" si="0"/>
        <v>0.166666666666667</v>
      </c>
      <c r="J19" s="14">
        <v>0</v>
      </c>
      <c r="K19" s="22">
        <f t="shared" si="1"/>
        <v>0</v>
      </c>
      <c r="L19" s="22">
        <f t="shared" si="2"/>
        <v>866.666666666667</v>
      </c>
    </row>
    <row r="20" s="1" customFormat="1" ht="24" customHeight="1" spans="1:13">
      <c r="A20" s="11"/>
      <c r="B20" s="23"/>
      <c r="C20" s="23"/>
      <c r="D20" s="14" t="s">
        <v>47</v>
      </c>
      <c r="E20" s="15">
        <v>2600</v>
      </c>
      <c r="F20" s="14"/>
      <c r="G20" s="24" t="s">
        <v>48</v>
      </c>
      <c r="H20" s="14">
        <v>1</v>
      </c>
      <c r="I20" s="22">
        <f t="shared" si="0"/>
        <v>0.0833333333333333</v>
      </c>
      <c r="J20" s="14">
        <v>0</v>
      </c>
      <c r="K20" s="22">
        <f t="shared" si="1"/>
        <v>0</v>
      </c>
      <c r="L20" s="22">
        <v>500</v>
      </c>
      <c r="M20" s="1">
        <v>216.67</v>
      </c>
    </row>
    <row r="21" s="1" customFormat="1" ht="24" customHeight="1" spans="1:12">
      <c r="A21" s="11"/>
      <c r="B21" s="23"/>
      <c r="C21" s="23"/>
      <c r="D21" s="14" t="s">
        <v>49</v>
      </c>
      <c r="E21" s="15">
        <v>7200</v>
      </c>
      <c r="F21" s="14"/>
      <c r="G21" s="24" t="s">
        <v>50</v>
      </c>
      <c r="H21" s="14">
        <v>1</v>
      </c>
      <c r="I21" s="22">
        <f t="shared" si="0"/>
        <v>0.0833333333333333</v>
      </c>
      <c r="J21" s="14">
        <v>0</v>
      </c>
      <c r="K21" s="22">
        <f t="shared" si="1"/>
        <v>0</v>
      </c>
      <c r="L21" s="22">
        <f t="shared" si="2"/>
        <v>600</v>
      </c>
    </row>
    <row r="22" s="1" customFormat="1" ht="24" customHeight="1" spans="1:12">
      <c r="A22" s="11">
        <v>12</v>
      </c>
      <c r="B22" s="23" t="s">
        <v>51</v>
      </c>
      <c r="C22" s="23"/>
      <c r="D22" s="14" t="s">
        <v>52</v>
      </c>
      <c r="E22" s="15">
        <v>10700</v>
      </c>
      <c r="F22" s="24">
        <v>44593</v>
      </c>
      <c r="G22" s="27" t="s">
        <v>53</v>
      </c>
      <c r="H22" s="14">
        <v>1</v>
      </c>
      <c r="I22" s="22">
        <f t="shared" si="0"/>
        <v>0.0833333333333333</v>
      </c>
      <c r="J22" s="14">
        <v>11</v>
      </c>
      <c r="K22" s="22">
        <f t="shared" si="1"/>
        <v>1.83333333333333</v>
      </c>
      <c r="L22" s="22">
        <f t="shared" si="2"/>
        <v>20508.3333333333</v>
      </c>
    </row>
    <row r="23" s="1" customFormat="1" ht="24" customHeight="1" spans="1:12">
      <c r="A23" s="11">
        <v>13</v>
      </c>
      <c r="B23" s="23"/>
      <c r="C23" s="23"/>
      <c r="D23" s="14" t="s">
        <v>54</v>
      </c>
      <c r="E23" s="15">
        <v>6200</v>
      </c>
      <c r="F23" s="24">
        <v>44652</v>
      </c>
      <c r="G23" s="27" t="s">
        <v>55</v>
      </c>
      <c r="H23" s="14">
        <v>3</v>
      </c>
      <c r="I23" s="22">
        <f t="shared" si="0"/>
        <v>0.25</v>
      </c>
      <c r="J23" s="14">
        <v>9</v>
      </c>
      <c r="K23" s="22">
        <f t="shared" si="1"/>
        <v>1.5</v>
      </c>
      <c r="L23" s="22">
        <f t="shared" si="2"/>
        <v>10850</v>
      </c>
    </row>
    <row r="24" s="1" customFormat="1" ht="24" customHeight="1" spans="1:12">
      <c r="A24" s="11">
        <v>14</v>
      </c>
      <c r="B24" s="23"/>
      <c r="C24" s="23"/>
      <c r="D24" s="14" t="s">
        <v>56</v>
      </c>
      <c r="E24" s="15">
        <v>7200</v>
      </c>
      <c r="F24" s="24">
        <v>44713</v>
      </c>
      <c r="G24" s="14" t="s">
        <v>31</v>
      </c>
      <c r="H24" s="14">
        <v>3</v>
      </c>
      <c r="I24" s="22">
        <f t="shared" si="0"/>
        <v>0.25</v>
      </c>
      <c r="J24" s="14">
        <v>7</v>
      </c>
      <c r="K24" s="22">
        <f t="shared" si="1"/>
        <v>1.16666666666667</v>
      </c>
      <c r="L24" s="22">
        <f t="shared" si="2"/>
        <v>10200</v>
      </c>
    </row>
    <row r="25" s="1" customFormat="1" ht="24" customHeight="1" spans="1:12">
      <c r="A25" s="11"/>
      <c r="B25" s="23"/>
      <c r="C25" s="23"/>
      <c r="D25" s="14" t="s">
        <v>57</v>
      </c>
      <c r="E25" s="15">
        <v>6200</v>
      </c>
      <c r="F25" s="24">
        <v>44682</v>
      </c>
      <c r="G25" s="14" t="s">
        <v>58</v>
      </c>
      <c r="H25" s="14">
        <v>2</v>
      </c>
      <c r="I25" s="22">
        <f t="shared" si="0"/>
        <v>0.166666666666667</v>
      </c>
      <c r="J25" s="14">
        <v>8</v>
      </c>
      <c r="K25" s="22">
        <f t="shared" si="1"/>
        <v>1.33333333333333</v>
      </c>
      <c r="L25" s="22">
        <f t="shared" si="2"/>
        <v>9300</v>
      </c>
    </row>
    <row r="26" s="1" customFormat="1" ht="24" customHeight="1" spans="1:12">
      <c r="A26" s="11"/>
      <c r="B26" s="23"/>
      <c r="C26" s="23"/>
      <c r="D26" s="14" t="s">
        <v>59</v>
      </c>
      <c r="E26" s="15">
        <v>5700</v>
      </c>
      <c r="F26" s="24">
        <v>44713</v>
      </c>
      <c r="G26" s="14" t="s">
        <v>60</v>
      </c>
      <c r="H26" s="14">
        <v>3</v>
      </c>
      <c r="I26" s="22">
        <f t="shared" si="0"/>
        <v>0.25</v>
      </c>
      <c r="J26" s="14">
        <v>7</v>
      </c>
      <c r="K26" s="22">
        <f t="shared" si="1"/>
        <v>1.16666666666667</v>
      </c>
      <c r="L26" s="22">
        <f t="shared" si="2"/>
        <v>8075</v>
      </c>
    </row>
    <row r="27" s="1" customFormat="1" ht="24" customHeight="1" spans="1:12">
      <c r="A27" s="11"/>
      <c r="B27" s="23"/>
      <c r="C27" s="23"/>
      <c r="D27" s="14" t="s">
        <v>61</v>
      </c>
      <c r="E27" s="15">
        <v>5200</v>
      </c>
      <c r="F27" s="24">
        <v>44713</v>
      </c>
      <c r="G27" s="14" t="s">
        <v>31</v>
      </c>
      <c r="H27" s="14">
        <v>3</v>
      </c>
      <c r="I27" s="22">
        <f t="shared" si="0"/>
        <v>0.25</v>
      </c>
      <c r="J27" s="14">
        <v>7</v>
      </c>
      <c r="K27" s="22">
        <f t="shared" si="1"/>
        <v>1.16666666666667</v>
      </c>
      <c r="L27" s="22">
        <f t="shared" si="2"/>
        <v>7366.66666666667</v>
      </c>
    </row>
    <row r="28" s="1" customFormat="1" ht="24" customHeight="1" spans="1:12">
      <c r="A28" s="11">
        <v>16</v>
      </c>
      <c r="B28" s="23"/>
      <c r="C28" s="23"/>
      <c r="D28" s="14" t="s">
        <v>62</v>
      </c>
      <c r="E28" s="15">
        <v>5200</v>
      </c>
      <c r="F28" s="24">
        <v>44896</v>
      </c>
      <c r="G28" s="14" t="s">
        <v>63</v>
      </c>
      <c r="H28" s="14">
        <v>3</v>
      </c>
      <c r="I28" s="22">
        <f t="shared" si="0"/>
        <v>0.25</v>
      </c>
      <c r="J28" s="14">
        <v>1</v>
      </c>
      <c r="K28" s="22">
        <f t="shared" si="1"/>
        <v>0.166666666666667</v>
      </c>
      <c r="L28" s="22">
        <f t="shared" si="2"/>
        <v>2166.66666666667</v>
      </c>
    </row>
    <row r="29" s="1" customFormat="1" ht="24" customHeight="1" spans="1:12">
      <c r="A29" s="11">
        <v>17</v>
      </c>
      <c r="B29" s="23" t="s">
        <v>64</v>
      </c>
      <c r="C29" s="23"/>
      <c r="D29" s="14" t="s">
        <v>65</v>
      </c>
      <c r="E29" s="15">
        <v>8500</v>
      </c>
      <c r="F29" s="24">
        <v>44743</v>
      </c>
      <c r="G29" s="14" t="s">
        <v>66</v>
      </c>
      <c r="H29" s="14">
        <v>1</v>
      </c>
      <c r="I29" s="22">
        <f t="shared" si="0"/>
        <v>0.0833333333333333</v>
      </c>
      <c r="J29" s="14">
        <v>6</v>
      </c>
      <c r="K29" s="22">
        <f t="shared" si="1"/>
        <v>1</v>
      </c>
      <c r="L29" s="22">
        <f t="shared" si="2"/>
        <v>9208.33333333333</v>
      </c>
    </row>
    <row r="30" s="1" customFormat="1" ht="24" customHeight="1" spans="1:12">
      <c r="A30" s="11">
        <v>18</v>
      </c>
      <c r="B30" s="23"/>
      <c r="C30" s="23"/>
      <c r="D30" s="14" t="s">
        <v>67</v>
      </c>
      <c r="E30" s="15">
        <v>11200</v>
      </c>
      <c r="F30" s="14"/>
      <c r="G30" s="14"/>
      <c r="H30" s="14"/>
      <c r="I30" s="22">
        <f t="shared" si="0"/>
        <v>0</v>
      </c>
      <c r="J30" s="14">
        <v>12</v>
      </c>
      <c r="K30" s="22">
        <f t="shared" si="1"/>
        <v>2</v>
      </c>
      <c r="L30" s="22">
        <f t="shared" si="2"/>
        <v>22400</v>
      </c>
    </row>
    <row r="31" s="1" customFormat="1" ht="24" customHeight="1" spans="1:12">
      <c r="A31" s="11"/>
      <c r="B31" s="12" t="s">
        <v>68</v>
      </c>
      <c r="C31" s="13"/>
      <c r="D31" s="14" t="s">
        <v>69</v>
      </c>
      <c r="E31" s="15">
        <v>8200</v>
      </c>
      <c r="F31" s="24">
        <v>44835</v>
      </c>
      <c r="G31" s="14" t="s">
        <v>70</v>
      </c>
      <c r="H31" s="14">
        <v>2</v>
      </c>
      <c r="I31" s="22">
        <f t="shared" si="0"/>
        <v>0.166666666666667</v>
      </c>
      <c r="J31" s="14">
        <v>3</v>
      </c>
      <c r="K31" s="22">
        <f t="shared" si="1"/>
        <v>0.5</v>
      </c>
      <c r="L31" s="22">
        <f t="shared" si="2"/>
        <v>5466.66666666667</v>
      </c>
    </row>
    <row r="32" s="1" customFormat="1" ht="24" customHeight="1" spans="1:12">
      <c r="A32" s="11"/>
      <c r="B32" s="16"/>
      <c r="C32" s="17"/>
      <c r="D32" s="14" t="s">
        <v>71</v>
      </c>
      <c r="E32" s="15">
        <v>6700</v>
      </c>
      <c r="F32" s="24">
        <v>44866</v>
      </c>
      <c r="G32" s="14" t="s">
        <v>19</v>
      </c>
      <c r="H32" s="14">
        <v>2</v>
      </c>
      <c r="I32" s="22">
        <f t="shared" si="0"/>
        <v>0.166666666666667</v>
      </c>
      <c r="J32" s="14">
        <v>2</v>
      </c>
      <c r="K32" s="22">
        <f t="shared" si="1"/>
        <v>0.333333333333333</v>
      </c>
      <c r="L32" s="22">
        <f t="shared" si="2"/>
        <v>3350</v>
      </c>
    </row>
    <row r="33" s="1" customFormat="1" ht="24" customHeight="1" spans="1:12">
      <c r="A33" s="11"/>
      <c r="B33" s="18"/>
      <c r="C33" s="19"/>
      <c r="D33" s="14" t="s">
        <v>72</v>
      </c>
      <c r="E33" s="15">
        <v>5600</v>
      </c>
      <c r="F33" s="14"/>
      <c r="G33" s="14" t="s">
        <v>73</v>
      </c>
      <c r="H33" s="14">
        <v>2</v>
      </c>
      <c r="I33" s="22">
        <f t="shared" si="0"/>
        <v>0.166666666666667</v>
      </c>
      <c r="J33" s="14">
        <v>0</v>
      </c>
      <c r="K33" s="22">
        <f t="shared" si="1"/>
        <v>0</v>
      </c>
      <c r="L33" s="22">
        <f t="shared" si="2"/>
        <v>933.333333333333</v>
      </c>
    </row>
    <row r="34" s="1" customFormat="1" ht="24" customHeight="1" spans="1:12">
      <c r="A34" s="11"/>
      <c r="B34" s="23" t="s">
        <v>74</v>
      </c>
      <c r="C34" s="23"/>
      <c r="D34" s="14" t="s">
        <v>75</v>
      </c>
      <c r="E34" s="15">
        <v>10700</v>
      </c>
      <c r="F34" s="14"/>
      <c r="G34" s="14"/>
      <c r="H34" s="14"/>
      <c r="I34" s="22">
        <f t="shared" si="0"/>
        <v>0</v>
      </c>
      <c r="J34" s="14">
        <v>12</v>
      </c>
      <c r="K34" s="22">
        <f t="shared" si="1"/>
        <v>2</v>
      </c>
      <c r="L34" s="22">
        <f t="shared" si="2"/>
        <v>21400</v>
      </c>
    </row>
    <row r="35" s="1" customFormat="1" ht="24" customHeight="1" spans="1:12">
      <c r="A35" s="11"/>
      <c r="B35" s="23"/>
      <c r="C35" s="23"/>
      <c r="D35" s="14" t="s">
        <v>76</v>
      </c>
      <c r="E35" s="15">
        <v>7700</v>
      </c>
      <c r="F35" s="14"/>
      <c r="G35" s="14"/>
      <c r="H35" s="14"/>
      <c r="I35" s="22">
        <f t="shared" si="0"/>
        <v>0</v>
      </c>
      <c r="J35" s="14">
        <v>12</v>
      </c>
      <c r="K35" s="22">
        <f t="shared" si="1"/>
        <v>2</v>
      </c>
      <c r="L35" s="22">
        <f t="shared" si="2"/>
        <v>15400</v>
      </c>
    </row>
    <row r="36" s="1" customFormat="1" ht="24" customHeight="1" spans="1:12">
      <c r="A36" s="11"/>
      <c r="B36" s="23"/>
      <c r="C36" s="23"/>
      <c r="D36" s="14" t="s">
        <v>77</v>
      </c>
      <c r="E36" s="15">
        <v>6200</v>
      </c>
      <c r="F36" s="14"/>
      <c r="G36" s="14"/>
      <c r="H36" s="14"/>
      <c r="I36" s="22">
        <f t="shared" ref="I36:I52" si="3">H36/12*1</f>
        <v>0</v>
      </c>
      <c r="J36" s="14">
        <v>12</v>
      </c>
      <c r="K36" s="22">
        <f t="shared" ref="K36:K52" si="4">J36/12*2</f>
        <v>2</v>
      </c>
      <c r="L36" s="22">
        <f t="shared" ref="L36:L52" si="5">(E36*I36)+(E36*K36)</f>
        <v>12400</v>
      </c>
    </row>
    <row r="37" s="1" customFormat="1" ht="24" customHeight="1" spans="1:12">
      <c r="A37" s="11"/>
      <c r="B37" s="23"/>
      <c r="C37" s="23"/>
      <c r="D37" s="14" t="s">
        <v>78</v>
      </c>
      <c r="E37" s="15">
        <v>6400</v>
      </c>
      <c r="F37" s="14"/>
      <c r="G37" s="14"/>
      <c r="H37" s="14"/>
      <c r="I37" s="22">
        <f t="shared" si="3"/>
        <v>0</v>
      </c>
      <c r="J37" s="14">
        <v>12</v>
      </c>
      <c r="K37" s="22">
        <f t="shared" si="4"/>
        <v>2</v>
      </c>
      <c r="L37" s="22">
        <f t="shared" si="5"/>
        <v>12800</v>
      </c>
    </row>
    <row r="38" s="1" customFormat="1" ht="24" customHeight="1" spans="1:12">
      <c r="A38" s="11"/>
      <c r="B38" s="23"/>
      <c r="C38" s="23"/>
      <c r="D38" s="14" t="s">
        <v>79</v>
      </c>
      <c r="E38" s="15">
        <v>5500</v>
      </c>
      <c r="F38" s="24">
        <v>44743</v>
      </c>
      <c r="G38" s="14" t="s">
        <v>80</v>
      </c>
      <c r="H38" s="14">
        <v>3</v>
      </c>
      <c r="I38" s="22">
        <f t="shared" si="3"/>
        <v>0.25</v>
      </c>
      <c r="J38" s="14">
        <v>6</v>
      </c>
      <c r="K38" s="22">
        <f t="shared" si="4"/>
        <v>1</v>
      </c>
      <c r="L38" s="22">
        <f t="shared" si="5"/>
        <v>6875</v>
      </c>
    </row>
    <row r="39" s="1" customFormat="1" ht="24" customHeight="1" spans="1:12">
      <c r="A39" s="11"/>
      <c r="B39" s="23" t="s">
        <v>81</v>
      </c>
      <c r="C39" s="23"/>
      <c r="D39" s="14" t="s">
        <v>82</v>
      </c>
      <c r="E39" s="15">
        <v>9600</v>
      </c>
      <c r="F39" s="14"/>
      <c r="G39" s="14" t="s">
        <v>17</v>
      </c>
      <c r="H39" s="14">
        <v>2</v>
      </c>
      <c r="I39" s="22">
        <f t="shared" si="3"/>
        <v>0.166666666666667</v>
      </c>
      <c r="J39" s="14">
        <v>0</v>
      </c>
      <c r="K39" s="22">
        <f t="shared" si="4"/>
        <v>0</v>
      </c>
      <c r="L39" s="22">
        <f t="shared" si="5"/>
        <v>1600</v>
      </c>
    </row>
    <row r="40" s="1" customFormat="1" ht="24" customHeight="1" spans="1:12">
      <c r="A40" s="11"/>
      <c r="B40" s="23"/>
      <c r="C40" s="23"/>
      <c r="D40" s="14" t="s">
        <v>83</v>
      </c>
      <c r="E40" s="15">
        <v>6200</v>
      </c>
      <c r="F40" s="24">
        <v>44593</v>
      </c>
      <c r="G40" s="27" t="s">
        <v>84</v>
      </c>
      <c r="H40" s="14">
        <v>1</v>
      </c>
      <c r="I40" s="22">
        <f t="shared" si="3"/>
        <v>0.0833333333333333</v>
      </c>
      <c r="J40" s="14">
        <v>11</v>
      </c>
      <c r="K40" s="22">
        <f t="shared" si="4"/>
        <v>1.83333333333333</v>
      </c>
      <c r="L40" s="22">
        <f t="shared" si="5"/>
        <v>11883.3333333333</v>
      </c>
    </row>
    <row r="41" s="1" customFormat="1" ht="24" customHeight="1" spans="1:12">
      <c r="A41" s="11">
        <v>31</v>
      </c>
      <c r="B41" s="23" t="s">
        <v>85</v>
      </c>
      <c r="C41" s="23"/>
      <c r="D41" s="14" t="s">
        <v>86</v>
      </c>
      <c r="E41" s="15">
        <v>4900</v>
      </c>
      <c r="F41" s="24">
        <v>44593</v>
      </c>
      <c r="G41" s="14" t="s">
        <v>87</v>
      </c>
      <c r="H41" s="14">
        <v>1</v>
      </c>
      <c r="I41" s="22">
        <f t="shared" si="3"/>
        <v>0.0833333333333333</v>
      </c>
      <c r="J41" s="14">
        <v>11</v>
      </c>
      <c r="K41" s="22">
        <f t="shared" si="4"/>
        <v>1.83333333333333</v>
      </c>
      <c r="L41" s="22">
        <f t="shared" si="5"/>
        <v>9391.66666666665</v>
      </c>
    </row>
    <row r="42" s="1" customFormat="1" ht="24" customHeight="1" spans="1:12">
      <c r="A42" s="11">
        <v>32</v>
      </c>
      <c r="B42" s="23" t="s">
        <v>88</v>
      </c>
      <c r="C42" s="23"/>
      <c r="D42" s="14" t="s">
        <v>89</v>
      </c>
      <c r="E42" s="15">
        <v>9200</v>
      </c>
      <c r="F42" s="14"/>
      <c r="G42" s="14"/>
      <c r="H42" s="14"/>
      <c r="I42" s="22">
        <f t="shared" si="3"/>
        <v>0</v>
      </c>
      <c r="J42" s="14">
        <v>12</v>
      </c>
      <c r="K42" s="22">
        <f t="shared" si="4"/>
        <v>2</v>
      </c>
      <c r="L42" s="22">
        <f t="shared" si="5"/>
        <v>18400</v>
      </c>
    </row>
    <row r="43" s="1" customFormat="1" ht="24" customHeight="1" spans="1:12">
      <c r="A43" s="11"/>
      <c r="B43" s="23" t="s">
        <v>90</v>
      </c>
      <c r="C43" s="23"/>
      <c r="D43" s="14" t="s">
        <v>91</v>
      </c>
      <c r="E43" s="15">
        <v>8700</v>
      </c>
      <c r="F43" s="14"/>
      <c r="G43" s="14"/>
      <c r="H43" s="14"/>
      <c r="I43" s="22">
        <f t="shared" si="3"/>
        <v>0</v>
      </c>
      <c r="J43" s="14">
        <v>12</v>
      </c>
      <c r="K43" s="22">
        <f t="shared" si="4"/>
        <v>2</v>
      </c>
      <c r="L43" s="22">
        <f t="shared" si="5"/>
        <v>17400</v>
      </c>
    </row>
    <row r="44" s="1" customFormat="1" ht="24" customHeight="1" spans="1:12">
      <c r="A44" s="11"/>
      <c r="B44" s="23"/>
      <c r="C44" s="23"/>
      <c r="D44" s="14" t="s">
        <v>92</v>
      </c>
      <c r="E44" s="15">
        <v>7700</v>
      </c>
      <c r="F44" s="14"/>
      <c r="G44" s="14"/>
      <c r="H44" s="14"/>
      <c r="I44" s="22">
        <f t="shared" si="3"/>
        <v>0</v>
      </c>
      <c r="J44" s="14">
        <v>12</v>
      </c>
      <c r="K44" s="22">
        <f t="shared" si="4"/>
        <v>2</v>
      </c>
      <c r="L44" s="22">
        <f t="shared" si="5"/>
        <v>15400</v>
      </c>
    </row>
    <row r="45" s="1" customFormat="1" ht="24" customHeight="1" spans="1:12">
      <c r="A45" s="11"/>
      <c r="B45" s="23"/>
      <c r="C45" s="23"/>
      <c r="D45" s="14" t="s">
        <v>93</v>
      </c>
      <c r="E45" s="15">
        <v>6500</v>
      </c>
      <c r="F45" s="24">
        <v>44562</v>
      </c>
      <c r="G45" s="27" t="s">
        <v>94</v>
      </c>
      <c r="H45" s="14">
        <v>0</v>
      </c>
      <c r="I45" s="22">
        <f t="shared" si="3"/>
        <v>0</v>
      </c>
      <c r="J45" s="14">
        <v>12</v>
      </c>
      <c r="K45" s="22">
        <f t="shared" si="4"/>
        <v>2</v>
      </c>
      <c r="L45" s="22">
        <f t="shared" si="5"/>
        <v>13000</v>
      </c>
    </row>
    <row r="46" s="1" customFormat="1" ht="24" customHeight="1" spans="1:12">
      <c r="A46" s="11"/>
      <c r="B46" s="23"/>
      <c r="C46" s="23"/>
      <c r="D46" s="14" t="s">
        <v>95</v>
      </c>
      <c r="E46" s="15">
        <v>3000</v>
      </c>
      <c r="F46" s="14"/>
      <c r="G46" s="14" t="s">
        <v>96</v>
      </c>
      <c r="H46" s="14">
        <v>2</v>
      </c>
      <c r="I46" s="22">
        <f t="shared" si="3"/>
        <v>0.166666666666667</v>
      </c>
      <c r="J46" s="14">
        <v>0</v>
      </c>
      <c r="K46" s="22">
        <f t="shared" si="4"/>
        <v>0</v>
      </c>
      <c r="L46" s="22">
        <f t="shared" si="5"/>
        <v>500</v>
      </c>
    </row>
    <row r="47" s="1" customFormat="1" ht="24" customHeight="1" spans="1:12">
      <c r="A47" s="11"/>
      <c r="B47" s="23" t="s">
        <v>97</v>
      </c>
      <c r="C47" s="23"/>
      <c r="D47" s="14" t="s">
        <v>98</v>
      </c>
      <c r="E47" s="15">
        <v>13700</v>
      </c>
      <c r="F47" s="14"/>
      <c r="G47" s="14"/>
      <c r="H47" s="14"/>
      <c r="I47" s="22">
        <f t="shared" si="3"/>
        <v>0</v>
      </c>
      <c r="J47" s="14">
        <v>12</v>
      </c>
      <c r="K47" s="22">
        <f t="shared" si="4"/>
        <v>2</v>
      </c>
      <c r="L47" s="22">
        <f t="shared" si="5"/>
        <v>27400</v>
      </c>
    </row>
    <row r="48" s="1" customFormat="1" ht="24" customHeight="1" spans="1:12">
      <c r="A48" s="11"/>
      <c r="B48" s="23"/>
      <c r="C48" s="23"/>
      <c r="D48" s="14" t="s">
        <v>99</v>
      </c>
      <c r="E48" s="15">
        <v>8700</v>
      </c>
      <c r="F48" s="14"/>
      <c r="G48" s="14"/>
      <c r="H48" s="14"/>
      <c r="I48" s="22">
        <f t="shared" si="3"/>
        <v>0</v>
      </c>
      <c r="J48" s="14">
        <v>12</v>
      </c>
      <c r="K48" s="22">
        <f t="shared" si="4"/>
        <v>2</v>
      </c>
      <c r="L48" s="22">
        <f t="shared" si="5"/>
        <v>17400</v>
      </c>
    </row>
    <row r="49" s="1" customFormat="1" ht="24" customHeight="1" spans="1:12">
      <c r="A49" s="26"/>
      <c r="B49" s="23" t="s">
        <v>100</v>
      </c>
      <c r="C49" s="23"/>
      <c r="D49" s="14" t="s">
        <v>101</v>
      </c>
      <c r="E49" s="15">
        <v>10700</v>
      </c>
      <c r="F49" s="14"/>
      <c r="G49" s="14"/>
      <c r="H49" s="14"/>
      <c r="I49" s="22">
        <f t="shared" si="3"/>
        <v>0</v>
      </c>
      <c r="J49" s="14">
        <v>12</v>
      </c>
      <c r="K49" s="22">
        <f t="shared" si="4"/>
        <v>2</v>
      </c>
      <c r="L49" s="22">
        <f t="shared" si="5"/>
        <v>21400</v>
      </c>
    </row>
    <row r="50" s="1" customFormat="1" ht="24" customHeight="1" spans="1:12">
      <c r="A50" s="26"/>
      <c r="B50" s="23"/>
      <c r="C50" s="23"/>
      <c r="D50" s="14" t="s">
        <v>102</v>
      </c>
      <c r="E50" s="15">
        <v>15200</v>
      </c>
      <c r="F50" s="14"/>
      <c r="G50" s="14"/>
      <c r="H50" s="14"/>
      <c r="I50" s="22">
        <f t="shared" si="3"/>
        <v>0</v>
      </c>
      <c r="J50" s="14">
        <v>12</v>
      </c>
      <c r="K50" s="22">
        <f t="shared" si="4"/>
        <v>2</v>
      </c>
      <c r="L50" s="22">
        <f t="shared" si="5"/>
        <v>30400</v>
      </c>
    </row>
    <row r="51" s="1" customFormat="1" ht="24" customHeight="1" spans="1:12">
      <c r="A51" s="26"/>
      <c r="B51" s="23"/>
      <c r="C51" s="23"/>
      <c r="D51" s="14" t="s">
        <v>103</v>
      </c>
      <c r="E51" s="15">
        <v>10200</v>
      </c>
      <c r="F51" s="14"/>
      <c r="G51" s="14"/>
      <c r="H51" s="14"/>
      <c r="I51" s="22">
        <f t="shared" si="3"/>
        <v>0</v>
      </c>
      <c r="J51" s="14">
        <v>12</v>
      </c>
      <c r="K51" s="22">
        <f t="shared" si="4"/>
        <v>2</v>
      </c>
      <c r="L51" s="22">
        <f t="shared" si="5"/>
        <v>20400</v>
      </c>
    </row>
    <row r="52" s="1" customFormat="1" ht="24" customHeight="1" spans="1:12">
      <c r="A52" s="26"/>
      <c r="B52" s="23"/>
      <c r="C52" s="23"/>
      <c r="D52" s="14" t="s">
        <v>104</v>
      </c>
      <c r="E52" s="15">
        <v>10700</v>
      </c>
      <c r="F52" s="24">
        <v>44866</v>
      </c>
      <c r="G52" s="14" t="s">
        <v>105</v>
      </c>
      <c r="H52" s="14">
        <v>1</v>
      </c>
      <c r="I52" s="22">
        <f t="shared" si="3"/>
        <v>0.0833333333333333</v>
      </c>
      <c r="J52" s="14">
        <v>2</v>
      </c>
      <c r="K52" s="22">
        <f t="shared" si="4"/>
        <v>0.333333333333333</v>
      </c>
      <c r="L52" s="22">
        <f t="shared" si="5"/>
        <v>4458.33333333333</v>
      </c>
    </row>
    <row r="53" s="1" customFormat="1" ht="26" customHeight="1" spans="2:12">
      <c r="B53" s="14" t="s">
        <v>106</v>
      </c>
      <c r="C53" s="14"/>
      <c r="D53" s="14"/>
      <c r="E53" s="14"/>
      <c r="F53" s="14"/>
      <c r="G53" s="14"/>
      <c r="H53" s="14"/>
      <c r="I53" s="14"/>
      <c r="J53" s="14"/>
      <c r="K53" s="14"/>
      <c r="L53" s="22">
        <f>SUM(L3:L52)</f>
        <v>563583.333333333</v>
      </c>
    </row>
  </sheetData>
  <mergeCells count="16">
    <mergeCell ref="B1:L1"/>
    <mergeCell ref="B41:C41"/>
    <mergeCell ref="B42:C42"/>
    <mergeCell ref="B53:K53"/>
    <mergeCell ref="B3:C5"/>
    <mergeCell ref="B6:C10"/>
    <mergeCell ref="B11:C14"/>
    <mergeCell ref="B22:C28"/>
    <mergeCell ref="B15:C21"/>
    <mergeCell ref="B47:C48"/>
    <mergeCell ref="B29:C30"/>
    <mergeCell ref="B34:C38"/>
    <mergeCell ref="B39:C40"/>
    <mergeCell ref="B43:C46"/>
    <mergeCell ref="B49:C52"/>
    <mergeCell ref="B31:C33"/>
  </mergeCells>
  <conditionalFormatting sqref="D3">
    <cfRule type="duplicateValues" dxfId="0" priority="38"/>
  </conditionalFormatting>
  <conditionalFormatting sqref="D10">
    <cfRule type="duplicateValues" dxfId="0" priority="37"/>
  </conditionalFormatting>
  <conditionalFormatting sqref="D15">
    <cfRule type="duplicateValues" dxfId="0" priority="35"/>
  </conditionalFormatting>
  <conditionalFormatting sqref="D16">
    <cfRule type="duplicateValues" dxfId="0" priority="34"/>
  </conditionalFormatting>
  <conditionalFormatting sqref="D17">
    <cfRule type="duplicateValues" dxfId="0" priority="33"/>
  </conditionalFormatting>
  <conditionalFormatting sqref="D18">
    <cfRule type="duplicateValues" dxfId="0" priority="32"/>
  </conditionalFormatting>
  <conditionalFormatting sqref="D22">
    <cfRule type="duplicateValues" dxfId="0" priority="30"/>
  </conditionalFormatting>
  <conditionalFormatting sqref="D23">
    <cfRule type="duplicateValues" dxfId="0" priority="29"/>
  </conditionalFormatting>
  <conditionalFormatting sqref="D27">
    <cfRule type="duplicateValues" dxfId="0" priority="1"/>
  </conditionalFormatting>
  <conditionalFormatting sqref="D28">
    <cfRule type="duplicateValues" dxfId="0" priority="27"/>
  </conditionalFormatting>
  <conditionalFormatting sqref="D29">
    <cfRule type="duplicateValues" dxfId="0" priority="26"/>
  </conditionalFormatting>
  <conditionalFormatting sqref="D30">
    <cfRule type="duplicateValues" dxfId="0" priority="25"/>
  </conditionalFormatting>
  <conditionalFormatting sqref="D41">
    <cfRule type="duplicateValues" dxfId="0" priority="13"/>
  </conditionalFormatting>
  <conditionalFormatting sqref="D42">
    <cfRule type="duplicateValues" dxfId="0" priority="12"/>
  </conditionalFormatting>
  <conditionalFormatting sqref="D43">
    <cfRule type="duplicateValues" dxfId="0" priority="7"/>
  </conditionalFormatting>
  <conditionalFormatting sqref="D4:D9">
    <cfRule type="duplicateValues" dxfId="0" priority="3"/>
  </conditionalFormatting>
  <conditionalFormatting sqref="D11:D12">
    <cfRule type="duplicateValues" dxfId="0" priority="36"/>
  </conditionalFormatting>
  <conditionalFormatting sqref="D13:D14">
    <cfRule type="duplicateValues" dxfId="0" priority="5"/>
  </conditionalFormatting>
  <conditionalFormatting sqref="D19:D21">
    <cfRule type="duplicateValues" dxfId="0" priority="31"/>
  </conditionalFormatting>
  <conditionalFormatting sqref="D24:D26">
    <cfRule type="duplicateValues" dxfId="0" priority="28"/>
  </conditionalFormatting>
  <conditionalFormatting sqref="D31:D38">
    <cfRule type="duplicateValues" dxfId="0" priority="23"/>
  </conditionalFormatting>
  <conditionalFormatting sqref="D39:D40">
    <cfRule type="duplicateValues" dxfId="0" priority="16"/>
  </conditionalFormatting>
  <conditionalFormatting sqref="D44:D52">
    <cfRule type="duplicateValues" dxfId="0" priority="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opLeftCell="B1" workbookViewId="0">
      <selection activeCell="L20" sqref="L3:L20"/>
    </sheetView>
  </sheetViews>
  <sheetFormatPr defaultColWidth="9" defaultRowHeight="13.5"/>
  <cols>
    <col min="1" max="1" width="8.75" style="1" hidden="1" customWidth="1"/>
    <col min="2" max="2" width="13.25" style="2" customWidth="1"/>
    <col min="3" max="3" width="12.75" style="2" customWidth="1"/>
    <col min="4" max="4" width="15.5" style="1" customWidth="1"/>
    <col min="5" max="5" width="17.125" style="1" customWidth="1"/>
    <col min="6" max="6" width="20.125" style="1" customWidth="1"/>
    <col min="7" max="8" width="16.625" style="1" customWidth="1"/>
    <col min="9" max="9" width="19.625" style="1" customWidth="1"/>
    <col min="10" max="10" width="13.5" style="1" customWidth="1"/>
    <col min="11" max="11" width="15.5" style="1" customWidth="1"/>
    <col min="12" max="12" width="17.5" style="1" customWidth="1"/>
    <col min="13" max="16384" width="9" style="1"/>
  </cols>
  <sheetData>
    <row r="1" s="1" customFormat="1" ht="44" customHeight="1" spans="1:12">
      <c r="A1" s="3" t="s">
        <v>0</v>
      </c>
      <c r="B1" s="4" t="s">
        <v>1</v>
      </c>
      <c r="C1" s="5"/>
      <c r="D1" s="6"/>
      <c r="E1" s="6"/>
      <c r="F1" s="6"/>
      <c r="G1" s="6"/>
      <c r="H1" s="6"/>
      <c r="I1" s="6"/>
      <c r="J1" s="6"/>
      <c r="K1" s="6"/>
      <c r="L1" s="20"/>
    </row>
    <row r="2" s="1" customFormat="1" ht="21" customHeight="1" spans="1:12">
      <c r="A2" s="7" t="s">
        <v>2</v>
      </c>
      <c r="B2" s="8" t="s">
        <v>3</v>
      </c>
      <c r="C2" s="9"/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107</v>
      </c>
      <c r="L2" s="21" t="s">
        <v>12</v>
      </c>
    </row>
    <row r="3" s="1" customFormat="1" ht="24" customHeight="1" spans="1:12">
      <c r="A3" s="11"/>
      <c r="B3" s="23" t="s">
        <v>108</v>
      </c>
      <c r="C3" s="23" t="s">
        <v>109</v>
      </c>
      <c r="D3" s="14" t="s">
        <v>110</v>
      </c>
      <c r="E3" s="15">
        <v>6200</v>
      </c>
      <c r="F3" s="24">
        <v>44805</v>
      </c>
      <c r="G3" s="14" t="s">
        <v>111</v>
      </c>
      <c r="H3" s="14">
        <v>2</v>
      </c>
      <c r="I3" s="14">
        <f>H3/12*1</f>
        <v>0.166666666666667</v>
      </c>
      <c r="J3" s="14">
        <v>4</v>
      </c>
      <c r="K3" s="22">
        <f t="shared" ref="K3:K12" si="0">J3/12*2</f>
        <v>0.666666666666667</v>
      </c>
      <c r="L3" s="22">
        <f>(E3*I3)+(E3*K3)</f>
        <v>5166.66666666667</v>
      </c>
    </row>
    <row r="4" s="1" customFormat="1" ht="24" customHeight="1" spans="1:12">
      <c r="A4" s="11"/>
      <c r="B4" s="23"/>
      <c r="C4" s="23"/>
      <c r="D4" s="14" t="s">
        <v>112</v>
      </c>
      <c r="E4" s="15">
        <v>5500</v>
      </c>
      <c r="F4" s="24">
        <v>44835</v>
      </c>
      <c r="G4" s="25" t="s">
        <v>113</v>
      </c>
      <c r="H4" s="14">
        <v>3</v>
      </c>
      <c r="I4" s="14">
        <f t="shared" ref="I4:I19" si="1">H4/12*1</f>
        <v>0.25</v>
      </c>
      <c r="J4" s="14">
        <v>3</v>
      </c>
      <c r="K4" s="22">
        <f t="shared" si="0"/>
        <v>0.5</v>
      </c>
      <c r="L4" s="22">
        <f t="shared" ref="L4:L19" si="2">(E4*I4)+(E4*K4)</f>
        <v>4125</v>
      </c>
    </row>
    <row r="5" s="1" customFormat="1" ht="24" customHeight="1" spans="1:12">
      <c r="A5" s="11"/>
      <c r="B5" s="23"/>
      <c r="C5" s="23"/>
      <c r="D5" s="14" t="s">
        <v>114</v>
      </c>
      <c r="E5" s="15">
        <v>5500</v>
      </c>
      <c r="F5" s="24">
        <v>44866</v>
      </c>
      <c r="G5" s="25" t="s">
        <v>115</v>
      </c>
      <c r="H5" s="14">
        <v>3</v>
      </c>
      <c r="I5" s="14">
        <f t="shared" si="1"/>
        <v>0.25</v>
      </c>
      <c r="J5" s="14">
        <v>2</v>
      </c>
      <c r="K5" s="22">
        <f t="shared" si="0"/>
        <v>0.333333333333333</v>
      </c>
      <c r="L5" s="22">
        <f t="shared" si="2"/>
        <v>3208.33333333333</v>
      </c>
    </row>
    <row r="6" s="1" customFormat="1" ht="24" customHeight="1" spans="1:12">
      <c r="A6" s="11"/>
      <c r="B6" s="23"/>
      <c r="C6" s="23"/>
      <c r="D6" s="14" t="s">
        <v>116</v>
      </c>
      <c r="E6" s="15">
        <v>7200</v>
      </c>
      <c r="F6" s="24">
        <v>44896</v>
      </c>
      <c r="G6" s="25" t="s">
        <v>117</v>
      </c>
      <c r="H6" s="14">
        <v>2</v>
      </c>
      <c r="I6" s="14">
        <f t="shared" si="1"/>
        <v>0.166666666666667</v>
      </c>
      <c r="J6" s="14">
        <v>1</v>
      </c>
      <c r="K6" s="22">
        <f t="shared" si="0"/>
        <v>0.166666666666667</v>
      </c>
      <c r="L6" s="22">
        <f t="shared" si="2"/>
        <v>2400</v>
      </c>
    </row>
    <row r="7" s="1" customFormat="1" ht="24" customHeight="1" spans="1:12">
      <c r="A7" s="11"/>
      <c r="B7" s="23"/>
      <c r="C7" s="23" t="s">
        <v>118</v>
      </c>
      <c r="D7" s="14" t="s">
        <v>119</v>
      </c>
      <c r="E7" s="15">
        <v>9200</v>
      </c>
      <c r="F7" s="24">
        <v>44835</v>
      </c>
      <c r="G7" s="25" t="s">
        <v>120</v>
      </c>
      <c r="H7" s="14">
        <v>3</v>
      </c>
      <c r="I7" s="14">
        <f t="shared" si="1"/>
        <v>0.25</v>
      </c>
      <c r="J7" s="14">
        <v>3</v>
      </c>
      <c r="K7" s="22">
        <f t="shared" si="0"/>
        <v>0.5</v>
      </c>
      <c r="L7" s="22">
        <f t="shared" si="2"/>
        <v>6900</v>
      </c>
    </row>
    <row r="8" s="1" customFormat="1" ht="24" customHeight="1" spans="1:12">
      <c r="A8" s="11"/>
      <c r="B8" s="23"/>
      <c r="C8" s="23"/>
      <c r="D8" s="14" t="s">
        <v>121</v>
      </c>
      <c r="E8" s="15">
        <v>7000</v>
      </c>
      <c r="F8" s="24">
        <v>44835</v>
      </c>
      <c r="G8" s="14" t="s">
        <v>120</v>
      </c>
      <c r="H8" s="14">
        <v>3</v>
      </c>
      <c r="I8" s="14">
        <f t="shared" si="1"/>
        <v>0.25</v>
      </c>
      <c r="J8" s="14">
        <v>3</v>
      </c>
      <c r="K8" s="22">
        <f t="shared" si="0"/>
        <v>0.5</v>
      </c>
      <c r="L8" s="22">
        <f t="shared" si="2"/>
        <v>5250</v>
      </c>
    </row>
    <row r="9" s="1" customFormat="1" ht="24" customHeight="1" spans="1:12">
      <c r="A9" s="11"/>
      <c r="B9" s="23"/>
      <c r="C9" s="23"/>
      <c r="D9" s="14" t="s">
        <v>122</v>
      </c>
      <c r="E9" s="15">
        <v>7000</v>
      </c>
      <c r="F9" s="24">
        <v>44835</v>
      </c>
      <c r="G9" s="14" t="s">
        <v>123</v>
      </c>
      <c r="H9" s="14">
        <v>3</v>
      </c>
      <c r="I9" s="14">
        <f t="shared" si="1"/>
        <v>0.25</v>
      </c>
      <c r="J9" s="14">
        <v>3</v>
      </c>
      <c r="K9" s="22">
        <f t="shared" si="0"/>
        <v>0.5</v>
      </c>
      <c r="L9" s="22">
        <f t="shared" si="2"/>
        <v>5250</v>
      </c>
    </row>
    <row r="10" s="1" customFormat="1" ht="24" customHeight="1" spans="1:12">
      <c r="A10" s="11"/>
      <c r="B10" s="23"/>
      <c r="C10" s="23" t="s">
        <v>124</v>
      </c>
      <c r="D10" s="14" t="s">
        <v>125</v>
      </c>
      <c r="E10" s="15">
        <v>8700</v>
      </c>
      <c r="F10" s="24">
        <v>44743</v>
      </c>
      <c r="G10" s="14" t="s">
        <v>126</v>
      </c>
      <c r="H10" s="14">
        <v>3</v>
      </c>
      <c r="I10" s="14">
        <f t="shared" si="1"/>
        <v>0.25</v>
      </c>
      <c r="J10" s="14">
        <v>6</v>
      </c>
      <c r="K10" s="22">
        <f t="shared" si="0"/>
        <v>1</v>
      </c>
      <c r="L10" s="22">
        <f t="shared" si="2"/>
        <v>10875</v>
      </c>
    </row>
    <row r="11" s="1" customFormat="1" ht="24" customHeight="1" spans="1:12">
      <c r="A11" s="11"/>
      <c r="B11" s="23"/>
      <c r="C11" s="23"/>
      <c r="D11" s="14" t="s">
        <v>127</v>
      </c>
      <c r="E11" s="15">
        <v>5800</v>
      </c>
      <c r="F11" s="24">
        <v>44652</v>
      </c>
      <c r="G11" s="14" t="s">
        <v>128</v>
      </c>
      <c r="H11" s="14">
        <v>1</v>
      </c>
      <c r="I11" s="14">
        <f t="shared" si="1"/>
        <v>0.0833333333333333</v>
      </c>
      <c r="J11" s="14">
        <v>9</v>
      </c>
      <c r="K11" s="22">
        <f t="shared" si="0"/>
        <v>1.5</v>
      </c>
      <c r="L11" s="22">
        <f t="shared" si="2"/>
        <v>9183.33333333333</v>
      </c>
    </row>
    <row r="12" s="1" customFormat="1" ht="24" customHeight="1" spans="1:12">
      <c r="A12" s="11"/>
      <c r="B12" s="23"/>
      <c r="C12" s="23" t="s">
        <v>129</v>
      </c>
      <c r="D12" s="14" t="s">
        <v>130</v>
      </c>
      <c r="E12" s="15">
        <v>9200</v>
      </c>
      <c r="F12" s="24">
        <v>44866</v>
      </c>
      <c r="G12" s="14" t="s">
        <v>131</v>
      </c>
      <c r="H12" s="14">
        <v>2</v>
      </c>
      <c r="I12" s="14">
        <f t="shared" si="1"/>
        <v>0.166666666666667</v>
      </c>
      <c r="J12" s="14">
        <v>2</v>
      </c>
      <c r="K12" s="22">
        <f t="shared" si="0"/>
        <v>0.333333333333333</v>
      </c>
      <c r="L12" s="22">
        <f t="shared" si="2"/>
        <v>4600</v>
      </c>
    </row>
    <row r="13" s="1" customFormat="1" ht="24" customHeight="1" spans="1:12">
      <c r="A13" s="11"/>
      <c r="B13" s="23"/>
      <c r="C13" s="23"/>
      <c r="D13" s="14" t="s">
        <v>132</v>
      </c>
      <c r="E13" s="15">
        <v>8000</v>
      </c>
      <c r="F13" s="14"/>
      <c r="G13" s="14" t="s">
        <v>133</v>
      </c>
      <c r="H13" s="14">
        <v>1</v>
      </c>
      <c r="I13" s="14">
        <f t="shared" si="1"/>
        <v>0.0833333333333333</v>
      </c>
      <c r="J13" s="14">
        <v>0</v>
      </c>
      <c r="K13" s="22">
        <f>(J13/12*2)/2</f>
        <v>0</v>
      </c>
      <c r="L13" s="22">
        <f t="shared" si="2"/>
        <v>666.666666666667</v>
      </c>
    </row>
    <row r="14" s="1" customFormat="1" ht="24" customHeight="1" spans="1:12">
      <c r="A14" s="11"/>
      <c r="B14" s="23"/>
      <c r="C14" s="23" t="s">
        <v>134</v>
      </c>
      <c r="D14" s="14" t="s">
        <v>135</v>
      </c>
      <c r="E14" s="15">
        <v>7100</v>
      </c>
      <c r="F14" s="24">
        <v>44835</v>
      </c>
      <c r="G14" s="14" t="s">
        <v>111</v>
      </c>
      <c r="H14" s="14">
        <v>3</v>
      </c>
      <c r="I14" s="14">
        <f t="shared" si="1"/>
        <v>0.25</v>
      </c>
      <c r="J14" s="14">
        <v>3</v>
      </c>
      <c r="K14" s="22">
        <f t="shared" ref="K14:K19" si="3">J14/12*2</f>
        <v>0.5</v>
      </c>
      <c r="L14" s="22">
        <f t="shared" si="2"/>
        <v>5325</v>
      </c>
    </row>
    <row r="15" s="1" customFormat="1" ht="24" customHeight="1" spans="1:12">
      <c r="A15" s="11"/>
      <c r="B15" s="23" t="s">
        <v>136</v>
      </c>
      <c r="C15" s="23"/>
      <c r="D15" s="14" t="s">
        <v>137</v>
      </c>
      <c r="E15" s="15">
        <v>12200</v>
      </c>
      <c r="F15" s="24">
        <v>44835</v>
      </c>
      <c r="G15" s="14" t="s">
        <v>138</v>
      </c>
      <c r="H15" s="14">
        <v>2</v>
      </c>
      <c r="I15" s="14">
        <f t="shared" si="1"/>
        <v>0.166666666666667</v>
      </c>
      <c r="J15" s="14">
        <v>3</v>
      </c>
      <c r="K15" s="22">
        <f t="shared" si="3"/>
        <v>0.5</v>
      </c>
      <c r="L15" s="22">
        <f t="shared" si="2"/>
        <v>8133.33333333333</v>
      </c>
    </row>
    <row r="16" s="1" customFormat="1" ht="24" customHeight="1" spans="1:12">
      <c r="A16" s="11">
        <v>27</v>
      </c>
      <c r="B16" s="23"/>
      <c r="C16" s="23"/>
      <c r="D16" s="14" t="s">
        <v>139</v>
      </c>
      <c r="E16" s="15">
        <v>5200</v>
      </c>
      <c r="F16" s="24">
        <v>44866</v>
      </c>
      <c r="G16" s="14" t="s">
        <v>140</v>
      </c>
      <c r="H16" s="14">
        <v>3</v>
      </c>
      <c r="I16" s="14">
        <f t="shared" si="1"/>
        <v>0.25</v>
      </c>
      <c r="J16" s="14">
        <v>2</v>
      </c>
      <c r="K16" s="22">
        <f t="shared" si="3"/>
        <v>0.333333333333333</v>
      </c>
      <c r="L16" s="22">
        <f t="shared" si="2"/>
        <v>3033.33333333333</v>
      </c>
    </row>
    <row r="17" s="1" customFormat="1" ht="24" customHeight="1" spans="1:12">
      <c r="A17" s="11"/>
      <c r="B17" s="23"/>
      <c r="C17" s="23"/>
      <c r="D17" s="14" t="s">
        <v>141</v>
      </c>
      <c r="E17" s="15">
        <v>5700</v>
      </c>
      <c r="F17" s="24">
        <v>44652</v>
      </c>
      <c r="G17" s="14" t="s">
        <v>128</v>
      </c>
      <c r="H17" s="14">
        <v>1</v>
      </c>
      <c r="I17" s="14">
        <f t="shared" si="1"/>
        <v>0.0833333333333333</v>
      </c>
      <c r="J17" s="14">
        <v>9</v>
      </c>
      <c r="K17" s="22">
        <f t="shared" si="3"/>
        <v>1.5</v>
      </c>
      <c r="L17" s="22">
        <f t="shared" si="2"/>
        <v>9025</v>
      </c>
    </row>
    <row r="18" s="1" customFormat="1" ht="24" customHeight="1" spans="1:12">
      <c r="A18" s="11">
        <v>33</v>
      </c>
      <c r="B18" s="23" t="s">
        <v>88</v>
      </c>
      <c r="C18" s="23"/>
      <c r="D18" s="14" t="s">
        <v>142</v>
      </c>
      <c r="E18" s="15">
        <v>4300</v>
      </c>
      <c r="F18" s="24">
        <v>44682</v>
      </c>
      <c r="G18" s="14" t="s">
        <v>143</v>
      </c>
      <c r="H18" s="14">
        <v>2</v>
      </c>
      <c r="I18" s="14">
        <f t="shared" si="1"/>
        <v>0.166666666666667</v>
      </c>
      <c r="J18" s="14">
        <v>8</v>
      </c>
      <c r="K18" s="22">
        <f t="shared" si="3"/>
        <v>1.33333333333333</v>
      </c>
      <c r="L18" s="22">
        <f t="shared" si="2"/>
        <v>6449.99999999999</v>
      </c>
    </row>
    <row r="19" s="1" customFormat="1" ht="24" customHeight="1" spans="1:12">
      <c r="A19" s="26"/>
      <c r="B19" s="23" t="s">
        <v>100</v>
      </c>
      <c r="C19" s="23"/>
      <c r="D19" s="14" t="s">
        <v>144</v>
      </c>
      <c r="E19" s="15">
        <v>17400</v>
      </c>
      <c r="F19" s="24">
        <v>44805</v>
      </c>
      <c r="G19" s="14" t="s">
        <v>145</v>
      </c>
      <c r="H19" s="14">
        <v>0</v>
      </c>
      <c r="I19" s="14">
        <f t="shared" si="1"/>
        <v>0</v>
      </c>
      <c r="J19" s="14">
        <v>4</v>
      </c>
      <c r="K19" s="22">
        <f t="shared" si="3"/>
        <v>0.666666666666667</v>
      </c>
      <c r="L19" s="22">
        <f t="shared" si="2"/>
        <v>11600</v>
      </c>
    </row>
    <row r="20" s="1" customFormat="1" ht="26" customHeight="1" spans="2:12">
      <c r="B20" s="14" t="s">
        <v>106</v>
      </c>
      <c r="C20" s="14"/>
      <c r="D20" s="14"/>
      <c r="E20" s="14"/>
      <c r="F20" s="14"/>
      <c r="G20" s="14"/>
      <c r="H20" s="14"/>
      <c r="I20" s="14"/>
      <c r="J20" s="14"/>
      <c r="K20" s="14"/>
      <c r="L20" s="22">
        <f>SUM(L3:L19)</f>
        <v>101191.666666667</v>
      </c>
    </row>
  </sheetData>
  <mergeCells count="10">
    <mergeCell ref="B1:L1"/>
    <mergeCell ref="B18:C18"/>
    <mergeCell ref="B19:C19"/>
    <mergeCell ref="B20:K20"/>
    <mergeCell ref="B3:B14"/>
    <mergeCell ref="C3:C6"/>
    <mergeCell ref="C7:C9"/>
    <mergeCell ref="C10:C11"/>
    <mergeCell ref="C12:C13"/>
    <mergeCell ref="B15:C17"/>
  </mergeCells>
  <conditionalFormatting sqref="D15">
    <cfRule type="duplicateValues" dxfId="0" priority="13"/>
  </conditionalFormatting>
  <conditionalFormatting sqref="D16">
    <cfRule type="duplicateValues" dxfId="0" priority="12"/>
  </conditionalFormatting>
  <conditionalFormatting sqref="D17">
    <cfRule type="duplicateValues" dxfId="0" priority="11"/>
  </conditionalFormatting>
  <conditionalFormatting sqref="D18">
    <cfRule type="duplicateValues" dxfId="0" priority="7"/>
  </conditionalFormatting>
  <conditionalFormatting sqref="D19">
    <cfRule type="duplicateValues" dxfId="0" priority="5"/>
  </conditionalFormatting>
  <conditionalFormatting sqref="D3:D14">
    <cfRule type="duplicateValues" dxfId="0" priority="14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opLeftCell="B1" workbookViewId="0">
      <selection activeCell="L21" sqref="L21"/>
    </sheetView>
  </sheetViews>
  <sheetFormatPr defaultColWidth="9" defaultRowHeight="13.5"/>
  <cols>
    <col min="1" max="1" width="8.75" style="1" hidden="1" customWidth="1"/>
    <col min="2" max="2" width="13.25" style="2" customWidth="1"/>
    <col min="3" max="3" width="12.75" style="2" customWidth="1"/>
    <col min="4" max="4" width="15.5" style="1" customWidth="1"/>
    <col min="5" max="5" width="17.125" style="1" customWidth="1"/>
    <col min="6" max="6" width="20.125" style="1" customWidth="1"/>
    <col min="7" max="9" width="16.625" style="1" customWidth="1"/>
    <col min="10" max="10" width="13.5" style="1" customWidth="1"/>
    <col min="11" max="11" width="11.375" style="1" customWidth="1"/>
    <col min="12" max="12" width="17.5" style="1" customWidth="1"/>
    <col min="13" max="16384" width="9" style="1"/>
  </cols>
  <sheetData>
    <row r="1" s="1" customFormat="1" ht="44" customHeight="1" spans="1:12">
      <c r="A1" s="3" t="s">
        <v>0</v>
      </c>
      <c r="B1" s="4" t="s">
        <v>1</v>
      </c>
      <c r="C1" s="5"/>
      <c r="D1" s="6"/>
      <c r="E1" s="6"/>
      <c r="F1" s="6"/>
      <c r="G1" s="6"/>
      <c r="H1" s="6"/>
      <c r="I1" s="6"/>
      <c r="J1" s="6"/>
      <c r="K1" s="6"/>
      <c r="L1" s="20"/>
    </row>
    <row r="2" s="1" customFormat="1" ht="21" customHeight="1" spans="1:12">
      <c r="A2" s="7" t="s">
        <v>2</v>
      </c>
      <c r="B2" s="8" t="s">
        <v>3</v>
      </c>
      <c r="C2" s="9"/>
      <c r="D2" s="10" t="s">
        <v>4</v>
      </c>
      <c r="E2" s="10" t="s">
        <v>5</v>
      </c>
      <c r="F2" s="10" t="s">
        <v>6</v>
      </c>
      <c r="G2" s="10" t="s">
        <v>7</v>
      </c>
      <c r="H2" s="10" t="s">
        <v>146</v>
      </c>
      <c r="I2" s="10" t="s">
        <v>9</v>
      </c>
      <c r="J2" s="10" t="s">
        <v>10</v>
      </c>
      <c r="K2" s="10" t="s">
        <v>11</v>
      </c>
      <c r="L2" s="21" t="s">
        <v>12</v>
      </c>
    </row>
    <row r="3" s="1" customFormat="1" ht="24" customHeight="1" spans="1:12">
      <c r="A3" s="11">
        <v>20</v>
      </c>
      <c r="B3" s="23" t="s">
        <v>147</v>
      </c>
      <c r="C3" s="23"/>
      <c r="D3" s="14" t="s">
        <v>148</v>
      </c>
      <c r="E3" s="15">
        <v>3200</v>
      </c>
      <c r="F3" s="24">
        <v>44743</v>
      </c>
      <c r="G3" s="14" t="s">
        <v>149</v>
      </c>
      <c r="H3" s="14">
        <v>2</v>
      </c>
      <c r="I3" s="14">
        <f>H3/12*1</f>
        <v>0.166666666666667</v>
      </c>
      <c r="J3" s="14">
        <v>6</v>
      </c>
      <c r="K3" s="22">
        <f>J3/12*2</f>
        <v>1</v>
      </c>
      <c r="L3" s="22">
        <f>(E3*I3)+(E3*K3)</f>
        <v>3733.33333333333</v>
      </c>
    </row>
    <row r="4" s="1" customFormat="1" ht="24" customHeight="1" spans="1:12">
      <c r="A4" s="11"/>
      <c r="B4" s="23"/>
      <c r="C4" s="23"/>
      <c r="D4" s="14" t="s">
        <v>150</v>
      </c>
      <c r="E4" s="15">
        <v>4200</v>
      </c>
      <c r="F4" s="24">
        <v>44835</v>
      </c>
      <c r="G4" s="14" t="s">
        <v>151</v>
      </c>
      <c r="H4" s="14">
        <v>2</v>
      </c>
      <c r="I4" s="14">
        <f t="shared" ref="I4:I10" si="0">H4/12*1</f>
        <v>0.166666666666667</v>
      </c>
      <c r="J4" s="14">
        <v>3</v>
      </c>
      <c r="K4" s="22">
        <f>J4/12*2</f>
        <v>0.5</v>
      </c>
      <c r="L4" s="22">
        <f t="shared" ref="L4:L10" si="1">(E4*I4)+(E4*K4)</f>
        <v>2800</v>
      </c>
    </row>
    <row r="5" s="1" customFormat="1" ht="24" customHeight="1" spans="1:12">
      <c r="A5" s="11"/>
      <c r="B5" s="23"/>
      <c r="C5" s="23"/>
      <c r="D5" s="14" t="s">
        <v>152</v>
      </c>
      <c r="E5" s="15">
        <v>4000</v>
      </c>
      <c r="F5" s="24">
        <v>44896</v>
      </c>
      <c r="G5" s="14" t="s">
        <v>19</v>
      </c>
      <c r="H5" s="14">
        <v>3</v>
      </c>
      <c r="I5" s="14">
        <f t="shared" si="0"/>
        <v>0.25</v>
      </c>
      <c r="J5" s="14">
        <v>1</v>
      </c>
      <c r="K5" s="22">
        <f>J5/12*2</f>
        <v>0.166666666666667</v>
      </c>
      <c r="L5" s="22">
        <f t="shared" si="1"/>
        <v>1666.66666666667</v>
      </c>
    </row>
    <row r="6" s="1" customFormat="1" ht="24" customHeight="1" spans="1:12">
      <c r="A6" s="11"/>
      <c r="B6" s="23"/>
      <c r="C6" s="23"/>
      <c r="D6" s="14" t="s">
        <v>153</v>
      </c>
      <c r="E6" s="15">
        <v>4400</v>
      </c>
      <c r="F6" s="14"/>
      <c r="G6" s="24" t="s">
        <v>154</v>
      </c>
      <c r="H6" s="14">
        <v>3</v>
      </c>
      <c r="I6" s="14">
        <f t="shared" si="0"/>
        <v>0.25</v>
      </c>
      <c r="J6" s="14">
        <v>0</v>
      </c>
      <c r="K6" s="22">
        <f>(J6/12*2)/2</f>
        <v>0</v>
      </c>
      <c r="L6" s="22">
        <f t="shared" si="1"/>
        <v>1100</v>
      </c>
    </row>
    <row r="7" s="1" customFormat="1" ht="24" customHeight="1" spans="1:12">
      <c r="A7" s="11"/>
      <c r="B7" s="23"/>
      <c r="C7" s="23"/>
      <c r="D7" s="14" t="s">
        <v>155</v>
      </c>
      <c r="E7" s="15">
        <v>3900</v>
      </c>
      <c r="F7" s="24">
        <v>44835</v>
      </c>
      <c r="G7" s="14" t="s">
        <v>27</v>
      </c>
      <c r="H7" s="14">
        <v>2</v>
      </c>
      <c r="I7" s="14">
        <f t="shared" si="0"/>
        <v>0.166666666666667</v>
      </c>
      <c r="J7" s="14">
        <v>3</v>
      </c>
      <c r="K7" s="22">
        <f>J7/12*2</f>
        <v>0.5</v>
      </c>
      <c r="L7" s="22">
        <f t="shared" si="1"/>
        <v>2600</v>
      </c>
    </row>
    <row r="8" s="1" customFormat="1" ht="24" customHeight="1" spans="1:12">
      <c r="A8" s="11"/>
      <c r="B8" s="23"/>
      <c r="C8" s="23"/>
      <c r="D8" s="14" t="s">
        <v>156</v>
      </c>
      <c r="E8" s="15">
        <v>5200</v>
      </c>
      <c r="F8" s="24">
        <v>44743</v>
      </c>
      <c r="G8" s="14" t="s">
        <v>157</v>
      </c>
      <c r="H8" s="14">
        <v>1</v>
      </c>
      <c r="I8" s="14">
        <f t="shared" si="0"/>
        <v>0.0833333333333333</v>
      </c>
      <c r="J8" s="14">
        <v>6</v>
      </c>
      <c r="K8" s="22">
        <f>J8/12*2</f>
        <v>1</v>
      </c>
      <c r="L8" s="22">
        <f t="shared" si="1"/>
        <v>5633.33333333333</v>
      </c>
    </row>
    <row r="9" s="1" customFormat="1" ht="24" customHeight="1" spans="1:12">
      <c r="A9" s="11"/>
      <c r="B9" s="23"/>
      <c r="C9" s="23"/>
      <c r="D9" s="14" t="s">
        <v>158</v>
      </c>
      <c r="E9" s="15">
        <v>3200</v>
      </c>
      <c r="F9" s="24">
        <v>44835</v>
      </c>
      <c r="G9" s="14" t="s">
        <v>111</v>
      </c>
      <c r="H9" s="14">
        <v>3</v>
      </c>
      <c r="I9" s="14">
        <f t="shared" si="0"/>
        <v>0.25</v>
      </c>
      <c r="J9" s="14">
        <v>3</v>
      </c>
      <c r="K9" s="22">
        <f>J9/12*2</f>
        <v>0.5</v>
      </c>
      <c r="L9" s="22">
        <f t="shared" si="1"/>
        <v>2400</v>
      </c>
    </row>
    <row r="10" s="1" customFormat="1" ht="24" customHeight="1" spans="1:12">
      <c r="A10" s="11"/>
      <c r="B10" s="23"/>
      <c r="C10" s="23"/>
      <c r="D10" s="14" t="s">
        <v>159</v>
      </c>
      <c r="E10" s="15">
        <v>3200</v>
      </c>
      <c r="F10" s="24">
        <v>44896</v>
      </c>
      <c r="G10" s="14" t="s">
        <v>160</v>
      </c>
      <c r="H10" s="14">
        <v>3</v>
      </c>
      <c r="I10" s="14">
        <f t="shared" si="0"/>
        <v>0.25</v>
      </c>
      <c r="J10" s="14">
        <v>1</v>
      </c>
      <c r="K10" s="22">
        <f>J10/12*2</f>
        <v>0.166666666666667</v>
      </c>
      <c r="L10" s="22">
        <f t="shared" si="1"/>
        <v>1333.33333333333</v>
      </c>
    </row>
    <row r="11" s="1" customFormat="1" ht="26" customHeight="1" spans="2:12">
      <c r="B11" s="14" t="s">
        <v>106</v>
      </c>
      <c r="C11" s="14"/>
      <c r="D11" s="14"/>
      <c r="E11" s="14"/>
      <c r="F11" s="14"/>
      <c r="G11" s="14"/>
      <c r="H11" s="14"/>
      <c r="I11" s="14"/>
      <c r="J11" s="14"/>
      <c r="K11" s="14"/>
      <c r="L11" s="22">
        <f>SUM(L3:L10)</f>
        <v>21266.6666666667</v>
      </c>
    </row>
  </sheetData>
  <mergeCells count="3">
    <mergeCell ref="B1:L1"/>
    <mergeCell ref="B11:K11"/>
    <mergeCell ref="B3:C10"/>
  </mergeCells>
  <conditionalFormatting sqref="D3">
    <cfRule type="duplicateValues" dxfId="0" priority="15"/>
  </conditionalFormatting>
  <conditionalFormatting sqref="D10">
    <cfRule type="duplicateValues" dxfId="0" priority="14"/>
  </conditionalFormatting>
  <conditionalFormatting sqref="D4:D9">
    <cfRule type="duplicateValues" dxfId="0" priority="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B1" workbookViewId="0">
      <selection activeCell="L21" sqref="L21"/>
    </sheetView>
  </sheetViews>
  <sheetFormatPr defaultColWidth="9" defaultRowHeight="13.5" outlineLevelRow="5"/>
  <cols>
    <col min="1" max="1" width="8.75" style="1" hidden="1" customWidth="1"/>
    <col min="2" max="2" width="13.25" style="2" customWidth="1"/>
    <col min="3" max="3" width="12.75" style="2" customWidth="1"/>
    <col min="4" max="4" width="15.5" style="1" customWidth="1"/>
    <col min="5" max="5" width="17.125" style="1" customWidth="1"/>
    <col min="6" max="6" width="20.125" style="1" customWidth="1"/>
    <col min="7" max="9" width="16.625" style="1" customWidth="1"/>
    <col min="10" max="10" width="13.5" style="1" customWidth="1"/>
    <col min="11" max="11" width="11.375" style="1" customWidth="1"/>
    <col min="12" max="12" width="17.5" style="1" customWidth="1"/>
    <col min="13" max="16384" width="9" style="1"/>
  </cols>
  <sheetData>
    <row r="1" s="1" customFormat="1" ht="44" customHeight="1" spans="1:12">
      <c r="A1" s="3" t="s">
        <v>0</v>
      </c>
      <c r="B1" s="4" t="s">
        <v>1</v>
      </c>
      <c r="C1" s="5"/>
      <c r="D1" s="6"/>
      <c r="E1" s="6"/>
      <c r="F1" s="6"/>
      <c r="G1" s="6"/>
      <c r="H1" s="6"/>
      <c r="I1" s="6"/>
      <c r="J1" s="6"/>
      <c r="K1" s="6"/>
      <c r="L1" s="20"/>
    </row>
    <row r="2" s="1" customFormat="1" ht="21" customHeight="1" spans="1:12">
      <c r="A2" s="7" t="s">
        <v>2</v>
      </c>
      <c r="B2" s="8" t="s">
        <v>3</v>
      </c>
      <c r="C2" s="9"/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21" t="s">
        <v>12</v>
      </c>
    </row>
    <row r="3" s="1" customFormat="1" ht="24" customHeight="1" spans="1:12">
      <c r="A3" s="11"/>
      <c r="B3" s="12" t="s">
        <v>85</v>
      </c>
      <c r="C3" s="13"/>
      <c r="D3" s="14" t="s">
        <v>161</v>
      </c>
      <c r="E3" s="15">
        <v>5500</v>
      </c>
      <c r="F3" s="14"/>
      <c r="G3" s="14"/>
      <c r="H3" s="14"/>
      <c r="I3" s="22">
        <f>H3/12*1</f>
        <v>0</v>
      </c>
      <c r="J3" s="14">
        <v>12</v>
      </c>
      <c r="K3" s="22">
        <f>J3/12*2</f>
        <v>2</v>
      </c>
      <c r="L3" s="22">
        <f>(E3*I3)+(E3*K3)</f>
        <v>11000</v>
      </c>
    </row>
    <row r="4" s="1" customFormat="1" ht="24" customHeight="1" spans="1:12">
      <c r="A4" s="11">
        <v>30</v>
      </c>
      <c r="B4" s="16"/>
      <c r="C4" s="17"/>
      <c r="D4" s="14" t="s">
        <v>162</v>
      </c>
      <c r="E4" s="15">
        <v>9700</v>
      </c>
      <c r="F4" s="14"/>
      <c r="G4" s="14"/>
      <c r="H4" s="14"/>
      <c r="I4" s="22">
        <f>H4/12*1</f>
        <v>0</v>
      </c>
      <c r="J4" s="14">
        <v>12</v>
      </c>
      <c r="K4" s="22">
        <f>J4/12*2</f>
        <v>2</v>
      </c>
      <c r="L4" s="22">
        <f>(E4*I4)+(E4*K4)</f>
        <v>19400</v>
      </c>
    </row>
    <row r="5" s="1" customFormat="1" ht="24" customHeight="1" spans="1:12">
      <c r="A5" s="11"/>
      <c r="B5" s="18"/>
      <c r="C5" s="19"/>
      <c r="D5" s="14" t="s">
        <v>163</v>
      </c>
      <c r="E5" s="15">
        <v>3200</v>
      </c>
      <c r="F5" s="14"/>
      <c r="G5" s="14" t="s">
        <v>25</v>
      </c>
      <c r="H5" s="14">
        <v>4</v>
      </c>
      <c r="I5" s="22">
        <f>H5/12*1</f>
        <v>0.333333333333333</v>
      </c>
      <c r="J5" s="14">
        <v>0</v>
      </c>
      <c r="K5" s="22">
        <v>0</v>
      </c>
      <c r="L5" s="22">
        <f>(E5*I5)+(E5*K5)</f>
        <v>1066.66666666667</v>
      </c>
    </row>
    <row r="6" s="1" customFormat="1" ht="26" customHeight="1" spans="2:12">
      <c r="B6" s="14" t="s">
        <v>106</v>
      </c>
      <c r="C6" s="14"/>
      <c r="D6" s="14"/>
      <c r="E6" s="14"/>
      <c r="F6" s="14"/>
      <c r="G6" s="14"/>
      <c r="H6" s="14"/>
      <c r="I6" s="14"/>
      <c r="J6" s="14"/>
      <c r="K6" s="14"/>
      <c r="L6" s="22">
        <f>SUM(L3:L5)</f>
        <v>31466.6666666667</v>
      </c>
    </row>
  </sheetData>
  <mergeCells count="3">
    <mergeCell ref="B1:L1"/>
    <mergeCell ref="B6:K6"/>
    <mergeCell ref="B3:C5"/>
  </mergeCells>
  <conditionalFormatting sqref="D3">
    <cfRule type="duplicateValues" dxfId="0" priority="14"/>
  </conditionalFormatting>
  <conditionalFormatting sqref="D4">
    <cfRule type="duplicateValues" dxfId="0" priority="10"/>
  </conditionalFormatting>
  <conditionalFormatting sqref="D5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东天</vt:lpstr>
      <vt:lpstr>中智投</vt:lpstr>
      <vt:lpstr>熠丰</vt:lpstr>
      <vt:lpstr>中铭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嘎嘎的</cp:lastModifiedBy>
  <dcterms:created xsi:type="dcterms:W3CDTF">2023-01-16T05:16:00Z</dcterms:created>
  <dcterms:modified xsi:type="dcterms:W3CDTF">2023-01-18T07:54:46Z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31A24549784D4B0F9DC92A8AC4D71603</vt:lpwstr>
  </property>
  <property fmtid="{D5CDD505-2E9C-101B-9397-08002B2CF9AE}" pid="3" name="KSOProductBuildVer">
    <vt:lpwstr>2052-11.1.0.12970</vt:lpwstr>
  </property>
</Properties>
</file>